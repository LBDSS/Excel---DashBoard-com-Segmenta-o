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8036d6c6ffc86d/Área de Trabalho/"/>
    </mc:Choice>
  </mc:AlternateContent>
  <xr:revisionPtr revIDLastSave="1058" documentId="8_{B2D5AB80-9B67-4D92-A6C8-DAC51B635228}" xr6:coauthVersionLast="47" xr6:coauthVersionMax="47" xr10:uidLastSave="{861A9C96-DDCC-4C8F-92B0-924A3D121993}"/>
  <bookViews>
    <workbookView xWindow="-120" yWindow="-120" windowWidth="29040" windowHeight="15720" firstSheet="2" activeTab="2" xr2:uid="{628AD10D-0679-4233-AFDB-CA5EF688F8AF}"/>
  </bookViews>
  <sheets>
    <sheet name="Base" sheetId="1" state="hidden" r:id="rId1"/>
    <sheet name="Tabela" sheetId="2" state="hidden" r:id="rId2"/>
    <sheet name="Dashboards" sheetId="5" r:id="rId3"/>
  </sheets>
  <definedNames>
    <definedName name="_xlnm._FilterDatabase" localSheetId="0" hidden="1">Base!$A$1:$J$1</definedName>
    <definedName name="SegmentaçãodeDados_Cargo">#N/A</definedName>
    <definedName name="SegmentaçãodeDados_Departamento">#N/A</definedName>
    <definedName name="SegmentaçãodeDados_Sexo">#N/A</definedName>
    <definedName name="SegmentaçãodeDados_Status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7" i="2" l="1"/>
  <c r="C27" i="2" s="1"/>
  <c r="B23" i="2" a="1"/>
  <c r="B13" i="2" a="1"/>
  <c r="B13" i="2" s="1"/>
  <c r="C13" i="2" s="1"/>
  <c r="B73" i="2" a="1"/>
  <c r="B73" i="2" s="1"/>
  <c r="C73" i="2" s="1"/>
  <c r="B56" i="2" a="1"/>
  <c r="B56" i="2" s="1"/>
  <c r="C56" i="2" s="1"/>
  <c r="B39" i="2" a="1"/>
  <c r="B39" i="2" s="1"/>
  <c r="C39" i="2" s="1"/>
  <c r="B30" i="2" a="1"/>
  <c r="B30" i="2" s="1"/>
  <c r="C30" i="2" s="1"/>
  <c r="A56" i="2" a="1"/>
  <c r="A56" i="2" s="1"/>
  <c r="B8" i="2"/>
  <c r="B9" i="2"/>
  <c r="B10" i="2"/>
  <c r="B7" i="2"/>
  <c r="B4" i="2"/>
  <c r="B3" i="2"/>
  <c r="C31" i="2" l="1"/>
  <c r="C47" i="2"/>
  <c r="C49" i="2"/>
  <c r="C50" i="2"/>
  <c r="C52" i="2"/>
  <c r="C58" i="2"/>
  <c r="C59" i="2"/>
  <c r="C60" i="2"/>
  <c r="C70" i="2"/>
  <c r="C48" i="2"/>
  <c r="C35" i="2"/>
  <c r="C40" i="2"/>
  <c r="C43" i="2"/>
  <c r="C62" i="2"/>
  <c r="C33" i="2"/>
  <c r="C34" i="2"/>
  <c r="C44" i="2"/>
  <c r="C63" i="2"/>
  <c r="C45" i="2"/>
  <c r="C46" i="2"/>
  <c r="C74" i="2"/>
  <c r="B23" i="2"/>
  <c r="C23" i="2" s="1"/>
  <c r="C14" i="2"/>
  <c r="C32" i="2"/>
  <c r="C61" i="2"/>
  <c r="C75" i="2"/>
  <c r="C15" i="2"/>
  <c r="C76" i="2"/>
  <c r="C77" i="2"/>
  <c r="C78" i="2"/>
  <c r="C79" i="2"/>
  <c r="C64" i="2"/>
  <c r="C18" i="2"/>
  <c r="C36" i="2"/>
  <c r="C65" i="2"/>
  <c r="C19" i="2"/>
  <c r="C51" i="2"/>
  <c r="C66" i="2"/>
  <c r="C80" i="2"/>
  <c r="C16" i="2"/>
  <c r="C20" i="2"/>
  <c r="C67" i="2"/>
  <c r="C81" i="2"/>
  <c r="C17" i="2"/>
  <c r="C41" i="2"/>
  <c r="C68" i="2"/>
  <c r="C82" i="2"/>
  <c r="C42" i="2"/>
  <c r="C57" i="2"/>
  <c r="C69" i="2"/>
  <c r="C83" i="2"/>
  <c r="C9" i="2"/>
  <c r="C4" i="2"/>
  <c r="C7" i="2"/>
  <c r="C3" i="2"/>
  <c r="C8" i="2"/>
  <c r="C10" i="2"/>
  <c r="C2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<sst xmlns="http://schemas.openxmlformats.org/spreadsheetml/2006/main" count="211" uniqueCount="66">
  <si>
    <t>Matricula;Nome;Departamento;Cargo;Status;Salario;Horas_Faltas;Horas_Escala;Avaliacao</t>
  </si>
  <si>
    <t>2002;Carlos Lima;Operações;Analista Jr;Ativo;3200;12;220;88</t>
  </si>
  <si>
    <t>2003;Marcos Silva;TI;Desenvolvedor;Desligado;6500;0;220;65</t>
  </si>
  <si>
    <t>2004;Juliana Costa;Atendimento;Supervisor;Ativo;4500;8;220;92</t>
  </si>
  <si>
    <t>2005;Roberto Dias;Recursos Humanos;Analista Pleno;Ativo;5000;0;220;85</t>
  </si>
  <si>
    <t>2006;Fernanda Alves;Operações;Assistente;Ativo;2100;24;220;72</t>
  </si>
  <si>
    <t>2007;Lucas Gomes;TI;Suporte N1;Desligado;2500;16;220;60</t>
  </si>
  <si>
    <t>2008;Patricia Rocha;Atendimento;Assistente;Ativo;2100;0;220;90</t>
  </si>
  <si>
    <t>2009;Bruno Mendes;Operações;Supervisor;Ativo;4800;4;220;89</t>
  </si>
  <si>
    <t>2010;Camila Prado;Recursos Humanos;HRBP;Ativo;8500;0;220;98</t>
  </si>
  <si>
    <t>2011;Tiago Nunes;TI;Engenheiro de Dados;Ativo;9200;0;220;95</t>
  </si>
  <si>
    <t>2012;Aline Freitas;Atendimento;Analista Jr;Desligado;2800;40;220;55</t>
  </si>
  <si>
    <t>2013;Diego Moreira;Operações;Analista Pleno;Ativo;4100;8;220;81</t>
  </si>
  <si>
    <t>2014;Renata Pires;Atendimento;Assistente;Ativo;2100;0;220;86</t>
  </si>
  <si>
    <t>2015;Vitor Ramos;Recursos Humanos;Assistente;Ativo;2500;8;220;78</t>
  </si>
  <si>
    <t>Matrícula</t>
  </si>
  <si>
    <t>Nome</t>
  </si>
  <si>
    <t>Departamento</t>
  </si>
  <si>
    <t>Cargo</t>
  </si>
  <si>
    <t>Status</t>
  </si>
  <si>
    <t>Salario</t>
  </si>
  <si>
    <t>Horas Faltas</t>
  </si>
  <si>
    <t>Horas Escala</t>
  </si>
  <si>
    <t>Avaliação</t>
  </si>
  <si>
    <t>;Ana Souza;Atendimento;Assistente;Ativo;2100;0;220;95</t>
  </si>
  <si>
    <t>Ana Souza</t>
  </si>
  <si>
    <t>Carlos Lima</t>
  </si>
  <si>
    <t>Marcos Silva</t>
  </si>
  <si>
    <t>Juliana Costa</t>
  </si>
  <si>
    <t>Roberto Dias</t>
  </si>
  <si>
    <t>Fernanda Alves</t>
  </si>
  <si>
    <t>Lucas Gomes</t>
  </si>
  <si>
    <t>Patricia Rocha</t>
  </si>
  <si>
    <t>Bruno Mendes</t>
  </si>
  <si>
    <t>Camila Prado</t>
  </si>
  <si>
    <t>Tiago Nunes</t>
  </si>
  <si>
    <t>Aline Freitas</t>
  </si>
  <si>
    <t>Diego Moreira</t>
  </si>
  <si>
    <t>Renata Pires</t>
  </si>
  <si>
    <t>Vitor Ramos</t>
  </si>
  <si>
    <t>Atendimento</t>
  </si>
  <si>
    <t>Operações</t>
  </si>
  <si>
    <t>TI</t>
  </si>
  <si>
    <t>Recursos Humanos</t>
  </si>
  <si>
    <t>Assistente</t>
  </si>
  <si>
    <t>Analista Jr</t>
  </si>
  <si>
    <t>Desenvolvedor</t>
  </si>
  <si>
    <t>Supervisor</t>
  </si>
  <si>
    <t>Analista Pleno</t>
  </si>
  <si>
    <t>Suporte N1</t>
  </si>
  <si>
    <t>HRBP</t>
  </si>
  <si>
    <t>Engenheiro de Dados</t>
  </si>
  <si>
    <t>Ativo</t>
  </si>
  <si>
    <t>Desligado</t>
  </si>
  <si>
    <t>F</t>
  </si>
  <si>
    <t>M</t>
  </si>
  <si>
    <t>TAB1. Gênero</t>
  </si>
  <si>
    <t>TAB2. Departamento</t>
  </si>
  <si>
    <t>Tab3. Cargos</t>
  </si>
  <si>
    <t>Tab4. Status</t>
  </si>
  <si>
    <t>Tab5. Horas Escala</t>
  </si>
  <si>
    <t>Tab6. Horas Falta</t>
  </si>
  <si>
    <t>Tab8. Avaliação</t>
  </si>
  <si>
    <t>Tab9. Avaliação Func</t>
  </si>
  <si>
    <t>Tab10. Salário</t>
  </si>
  <si>
    <t>Gênero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</si>
</sst>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&quot;h&quot;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9" fontId="0" fillId="0" borderId="1" xfId="1" applyFont="1" applyBorder="1"/>
    <xf numFmtId="164" fontId="2" fillId="0" borderId="1" xfId="0" applyNumberFormat="1" applyFont="1" applyBorder="1" applyAlignment="1">
      <alignment horizontal="center"/>
    </xf>
    <xf numFmtId="165" fontId="0" fillId="0" borderId="1" xfId="1" applyNumberFormat="1" applyFont="1" applyBorder="1"/>
  </cellXfs>
  <cellStyles count="2">
    <cellStyle name="Normal" xfId="0" builtinId="0"/>
    <cellStyle name="Porcentagem" xfId="1" builtinId="5"/>
  </cellStyles>
  <dxfs count="19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>
          <bgColor theme="1"/>
        </patternFill>
      </fill>
      <border>
        <bottom style="thin">
          <color theme="0" tint="-0.34998626667073579"/>
        </bottom>
        <vertical/>
        <horizontal/>
      </border>
    </dxf>
    <dxf>
      <font>
        <color theme="0"/>
      </font>
      <fill>
        <patternFill>
          <bgColor theme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2" defaultPivotStyle="PivotStyleLight16">
    <tableStyle name="SlicerStyleOther1 2" pivot="0" table="0" count="10" xr9:uid="{FFDE945A-9B74-4FB5-95A0-373292BB76DB}">
      <tableStyleElement type="wholeTable" dxfId="198"/>
      <tableStyleElement type="headerRow" dxfId="19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0" tint="-0.249977111117893"/>
              <bgColor theme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Other1 2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80068867794174"/>
          <c:y val="0.10559293422172646"/>
          <c:w val="0.66350878937653934"/>
          <c:h val="0.65593729605929119"/>
        </c:manualLayout>
      </c:layout>
      <c:pieChart>
        <c:varyColors val="1"/>
        <c:ser>
          <c:idx val="0"/>
          <c:order val="0"/>
          <c:spPr>
            <a:effectLst/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15-49BD-985D-4CDF6EFEEA6E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15-49BD-985D-4CDF6EFEEA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Tabela!$A$3:$A$4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Tabela!$C$3:$C$4</c:f>
              <c:numCache>
                <c:formatCode>0%</c:formatCode>
                <c:ptCount val="2"/>
                <c:pt idx="0">
                  <c:v>0.46666666666666667</c:v>
                </c:pt>
                <c:pt idx="1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15-49BD-985D-4CDF6EFEEA6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C0-4580-A762-024E4AC1B632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EC0-4580-A762-024E4AC1B63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C0-4580-A762-024E4AC1B632}"/>
              </c:ext>
            </c:extLst>
          </c:dPt>
          <c:cat>
            <c:strRef>
              <c:f>Tabela!$A$7:$A$10</c:f>
              <c:strCache>
                <c:ptCount val="4"/>
                <c:pt idx="0">
                  <c:v>Atendimento</c:v>
                </c:pt>
                <c:pt idx="1">
                  <c:v>Operações</c:v>
                </c:pt>
                <c:pt idx="2">
                  <c:v>Recursos Humanos</c:v>
                </c:pt>
                <c:pt idx="3">
                  <c:v>TI</c:v>
                </c:pt>
              </c:strCache>
            </c:strRef>
          </c:cat>
          <c:val>
            <c:numRef>
              <c:f>Tabela!$C$7:$C$10</c:f>
              <c:numCache>
                <c:formatCode>0%</c:formatCode>
                <c:ptCount val="4"/>
                <c:pt idx="0">
                  <c:v>0.33333333333333331</c:v>
                </c:pt>
                <c:pt idx="1">
                  <c:v>0.26666666666666666</c:v>
                </c:pt>
                <c:pt idx="2">
                  <c:v>0.2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0-4580-A762-024E4AC1B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75808"/>
        <c:axId val="339443888"/>
      </c:barChart>
      <c:catAx>
        <c:axId val="13097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9443888"/>
        <c:crosses val="autoZero"/>
        <c:auto val="1"/>
        <c:lblAlgn val="ctr"/>
        <c:lblOffset val="100"/>
        <c:noMultiLvlLbl val="0"/>
      </c:catAx>
      <c:valAx>
        <c:axId val="3394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97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911790007119508"/>
          <c:y val="7.3264466999014441E-2"/>
          <c:w val="0.55151484314768395"/>
          <c:h val="0.64098635302145412"/>
        </c:manualLayout>
      </c:layout>
      <c:pieChart>
        <c:varyColors val="1"/>
        <c:ser>
          <c:idx val="0"/>
          <c:order val="0"/>
          <c:spPr>
            <a:solidFill>
              <a:schemeClr val="tx1"/>
            </a:solidFill>
          </c:spPr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C0-4940-979E-99D1D1742EAA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C0-4940-979E-99D1D1742EAA}"/>
              </c:ext>
            </c:extLst>
          </c:dPt>
          <c:dLbls>
            <c:dLbl>
              <c:idx val="0"/>
              <c:layout>
                <c:manualLayout>
                  <c:x val="-9.8929398361322474E-2"/>
                  <c:y val="-0.2119828044750219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C0-4940-979E-99D1D1742EA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9C0-4940-979E-99D1D1742E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Tabela!$A$23:$A$24</c:f>
              <c:strCache>
                <c:ptCount val="2"/>
                <c:pt idx="0">
                  <c:v>Ativo</c:v>
                </c:pt>
                <c:pt idx="1">
                  <c:v>Desligado</c:v>
                </c:pt>
              </c:strCache>
            </c:strRef>
          </c:cat>
          <c:val>
            <c:numRef>
              <c:f>Tabela!$C$23:$C$24</c:f>
              <c:numCache>
                <c:formatCode>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C0-4940-979E-99D1D1742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43804706136922994"/>
          <c:y val="0.71238112757210215"/>
          <c:w val="0.37052657103881981"/>
          <c:h val="0.16785146336090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529975043701"/>
          <c:y val="2.2745686098773463E-2"/>
          <c:w val="0.88334700249562992"/>
          <c:h val="0.679065863680153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E6-425F-BA6F-76B888F1CE57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CE6-425F-BA6F-76B888F1CE5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CE6-425F-BA6F-76B888F1CE57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E6-425F-BA6F-76B888F1CE57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E6-425F-BA6F-76B888F1CE57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CE6-425F-BA6F-76B888F1CE57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E6-425F-BA6F-76B888F1CE57}"/>
              </c:ext>
            </c:extLst>
          </c:dPt>
          <c:cat>
            <c:strRef>
              <c:f>Tabela!$A$13:$A$20</c:f>
              <c:strCache>
                <c:ptCount val="8"/>
                <c:pt idx="0">
                  <c:v>Analista Jr</c:v>
                </c:pt>
                <c:pt idx="1">
                  <c:v>Assistente</c:v>
                </c:pt>
                <c:pt idx="2">
                  <c:v>Supervisor</c:v>
                </c:pt>
                <c:pt idx="3">
                  <c:v>HRBP</c:v>
                </c:pt>
                <c:pt idx="4">
                  <c:v>Analista Pleno</c:v>
                </c:pt>
                <c:pt idx="5">
                  <c:v>Suporte N1</c:v>
                </c:pt>
                <c:pt idx="6">
                  <c:v>Desenvolvedor</c:v>
                </c:pt>
                <c:pt idx="7">
                  <c:v>Engenheiro de Dados</c:v>
                </c:pt>
              </c:strCache>
            </c:strRef>
          </c:cat>
          <c:val>
            <c:numRef>
              <c:f>Tabela!$C$13:$C$20</c:f>
              <c:numCache>
                <c:formatCode>0%</c:formatCode>
                <c:ptCount val="8"/>
                <c:pt idx="0">
                  <c:v>0.13333333333333333</c:v>
                </c:pt>
                <c:pt idx="1">
                  <c:v>0.33333333333333331</c:v>
                </c:pt>
                <c:pt idx="2">
                  <c:v>0.13333333333333333</c:v>
                </c:pt>
                <c:pt idx="3">
                  <c:v>6.6666666666666666E-2</c:v>
                </c:pt>
                <c:pt idx="4">
                  <c:v>0.13333333333333333</c:v>
                </c:pt>
                <c:pt idx="5">
                  <c:v>6.6666666666666666E-2</c:v>
                </c:pt>
                <c:pt idx="6">
                  <c:v>6.6666666666666666E-2</c:v>
                </c:pt>
                <c:pt idx="7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6-425F-BA6F-76B888F1C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4684416"/>
        <c:axId val="339440528"/>
      </c:barChart>
      <c:catAx>
        <c:axId val="128468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9440528"/>
        <c:crosses val="autoZero"/>
        <c:auto val="1"/>
        <c:lblAlgn val="ctr"/>
        <c:lblOffset val="100"/>
        <c:noMultiLvlLbl val="0"/>
      </c:catAx>
      <c:valAx>
        <c:axId val="33944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68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2.png"/><Relationship Id="rId7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image" Target="../media/image3.sv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170381</xdr:colOff>
      <xdr:row>6</xdr:row>
      <xdr:rowOff>194642</xdr:rowOff>
    </xdr:from>
    <xdr:to>
      <xdr:col>21</xdr:col>
      <xdr:colOff>251981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ênero">
              <a:extLst>
                <a:ext uri="{FF2B5EF4-FFF2-40B4-BE49-F238E27FC236}">
                  <a16:creationId xmlns:a16="http://schemas.microsoft.com/office/drawing/2014/main" id="{2A5D88D3-F3DF-477F-9F60-BAD40287CA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ê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4781" y="1680542"/>
              <a:ext cx="4348800" cy="15865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</xdr:row>
      <xdr:rowOff>205779</xdr:rowOff>
    </xdr:from>
    <xdr:to>
      <xdr:col>7</xdr:col>
      <xdr:colOff>81600</xdr:colOff>
      <xdr:row>13</xdr:row>
      <xdr:rowOff>45983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epartamento">
              <a:extLst>
                <a:ext uri="{FF2B5EF4-FFF2-40B4-BE49-F238E27FC236}">
                  <a16:creationId xmlns:a16="http://schemas.microsoft.com/office/drawing/2014/main" id="{D44E5E50-92C6-4C89-904D-43AE724D4D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91679"/>
              <a:ext cx="4348800" cy="1573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242250</xdr:colOff>
      <xdr:row>6</xdr:row>
      <xdr:rowOff>229935</xdr:rowOff>
    </xdr:from>
    <xdr:to>
      <xdr:col>29</xdr:col>
      <xdr:colOff>0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rgo">
              <a:extLst>
                <a:ext uri="{FF2B5EF4-FFF2-40B4-BE49-F238E27FC236}">
                  <a16:creationId xmlns:a16="http://schemas.microsoft.com/office/drawing/2014/main" id="{236EF875-146D-448C-A3F6-87434891CD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43850" y="1715835"/>
              <a:ext cx="4348800" cy="1551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80281</xdr:colOff>
      <xdr:row>6</xdr:row>
      <xdr:rowOff>219364</xdr:rowOff>
    </xdr:from>
    <xdr:to>
      <xdr:col>14</xdr:col>
      <xdr:colOff>161881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tatus">
              <a:extLst>
                <a:ext uri="{FF2B5EF4-FFF2-40B4-BE49-F238E27FC236}">
                  <a16:creationId xmlns:a16="http://schemas.microsoft.com/office/drawing/2014/main" id="{C82F8543-ECF9-47C3-8943-DF7199F3E1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7481" y="1705264"/>
              <a:ext cx="4348800" cy="15618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128869</xdr:colOff>
      <xdr:row>0</xdr:row>
      <xdr:rowOff>0</xdr:rowOff>
    </xdr:from>
    <xdr:to>
      <xdr:col>28</xdr:col>
      <xdr:colOff>304800</xdr:colOff>
      <xdr:row>6</xdr:row>
      <xdr:rowOff>228600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844F60E1-DFA5-E283-E870-34755E329AE4}"/>
            </a:ext>
          </a:extLst>
        </xdr:cNvPr>
        <xdr:cNvSpPr txBox="1"/>
      </xdr:nvSpPr>
      <xdr:spPr>
        <a:xfrm>
          <a:off x="3176869" y="0"/>
          <a:ext cx="14196731" cy="17145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5400" cap="small" baseline="0">
              <a:solidFill>
                <a:schemeClr val="bg1"/>
              </a:solidFill>
            </a:rPr>
            <a:t>Painel de Indicadores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5</xdr:col>
      <xdr:colOff>148452</xdr:colOff>
      <xdr:row>6</xdr:row>
      <xdr:rowOff>228600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3911FB40-FB66-5C63-41E9-826497823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196452" cy="17144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13</xdr:col>
      <xdr:colOff>161970</xdr:colOff>
      <xdr:row>12</xdr:row>
      <xdr:rowOff>93428</xdr:rowOff>
    </xdr:from>
    <xdr:to>
      <xdr:col>21</xdr:col>
      <xdr:colOff>276226</xdr:colOff>
      <xdr:row>29</xdr:row>
      <xdr:rowOff>209551</xdr:rowOff>
    </xdr:to>
    <xdr:grpSp>
      <xdr:nvGrpSpPr>
        <xdr:cNvPr id="70" name="Agrupar 69">
          <a:extLst>
            <a:ext uri="{FF2B5EF4-FFF2-40B4-BE49-F238E27FC236}">
              <a16:creationId xmlns:a16="http://schemas.microsoft.com/office/drawing/2014/main" id="{C7615F04-E82B-64A7-8F25-3DC7CFCA2A6C}"/>
            </a:ext>
          </a:extLst>
        </xdr:cNvPr>
        <xdr:cNvGrpSpPr/>
      </xdr:nvGrpSpPr>
      <xdr:grpSpPr>
        <a:xfrm>
          <a:off x="8086770" y="3065228"/>
          <a:ext cx="4991056" cy="4326173"/>
          <a:chOff x="3210440" y="4299696"/>
          <a:chExt cx="5047501" cy="3375256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71ED856F-BB9C-7948-C5E8-3575C2611F53}"/>
              </a:ext>
            </a:extLst>
          </xdr:cNvPr>
          <xdr:cNvGrpSpPr/>
        </xdr:nvGrpSpPr>
        <xdr:grpSpPr>
          <a:xfrm>
            <a:off x="3210440" y="4516446"/>
            <a:ext cx="4821742" cy="3158506"/>
            <a:chOff x="4970113" y="1575419"/>
            <a:chExt cx="3522508" cy="2255645"/>
          </a:xfrm>
        </xdr:grpSpPr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69B2AF6D-BF94-4097-876D-6E64B63C69DC}"/>
                </a:ext>
              </a:extLst>
            </xdr:cNvPr>
            <xdr:cNvGraphicFramePr>
              <a:graphicFrameLocks/>
            </xdr:cNvGraphicFramePr>
          </xdr:nvGraphicFramePr>
          <xdr:xfrm>
            <a:off x="5443545" y="1575419"/>
            <a:ext cx="2956831" cy="225564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pic>
          <xdr:nvPicPr>
            <xdr:cNvPr id="17" name="Gráfico 16" descr="Homem com preenchimento sólido">
              <a:extLst>
                <a:ext uri="{FF2B5EF4-FFF2-40B4-BE49-F238E27FC236}">
                  <a16:creationId xmlns:a16="http://schemas.microsoft.com/office/drawing/2014/main" id="{BBE7834B-7258-3EC1-690F-6F73F6B66B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970113" y="2069109"/>
              <a:ext cx="1021948" cy="1358615"/>
            </a:xfrm>
            <a:prstGeom prst="rect">
              <a:avLst/>
            </a:prstGeom>
          </xdr:spPr>
        </xdr:pic>
        <xdr:pic>
          <xdr:nvPicPr>
            <xdr:cNvPr id="19" name="Gráfico 18" descr="Mulher com preenchimento sólido">
              <a:extLst>
                <a:ext uri="{FF2B5EF4-FFF2-40B4-BE49-F238E27FC236}">
                  <a16:creationId xmlns:a16="http://schemas.microsoft.com/office/drawing/2014/main" id="{BF4C8715-E04D-FC23-7396-9D0A09BFE8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7613566" y="2074412"/>
              <a:ext cx="879055" cy="1357948"/>
            </a:xfrm>
            <a:prstGeom prst="rect">
              <a:avLst/>
            </a:prstGeom>
          </xdr:spPr>
        </xdr:pic>
      </xdr:grpSp>
      <xdr:grpSp>
        <xdr:nvGrpSpPr>
          <xdr:cNvPr id="69" name="Agrupar 68">
            <a:extLst>
              <a:ext uri="{FF2B5EF4-FFF2-40B4-BE49-F238E27FC236}">
                <a16:creationId xmlns:a16="http://schemas.microsoft.com/office/drawing/2014/main" id="{D3CFCBDB-DF0D-80C1-8D7F-6293EEDBEB23}"/>
              </a:ext>
            </a:extLst>
          </xdr:cNvPr>
          <xdr:cNvGrpSpPr/>
        </xdr:nvGrpSpPr>
        <xdr:grpSpPr>
          <a:xfrm>
            <a:off x="3629170" y="4299696"/>
            <a:ext cx="4628771" cy="523875"/>
            <a:chOff x="3601039" y="4299696"/>
            <a:chExt cx="4594310" cy="523875"/>
          </a:xfrm>
        </xdr:grpSpPr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E6BE2FE2-23FE-CCDA-09C3-CAC33F949E34}"/>
                </a:ext>
              </a:extLst>
            </xdr:cNvPr>
            <xdr:cNvSpPr txBox="1"/>
          </xdr:nvSpPr>
          <xdr:spPr>
            <a:xfrm>
              <a:off x="3672993" y="4299696"/>
              <a:ext cx="1185565" cy="5238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2000">
                  <a:solidFill>
                    <a:srgbClr val="FF0000"/>
                  </a:solidFill>
                </a:rPr>
                <a:t>G</a:t>
              </a:r>
              <a:r>
                <a:rPr lang="pt-BR" sz="2000"/>
                <a:t>ênero</a:t>
              </a:r>
            </a:p>
          </xdr:txBody>
        </xdr:sp>
        <xdr:cxnSp macro="">
          <xdr:nvCxnSpPr>
            <xdr:cNvPr id="27" name="Conector reto 26">
              <a:extLst>
                <a:ext uri="{FF2B5EF4-FFF2-40B4-BE49-F238E27FC236}">
                  <a16:creationId xmlns:a16="http://schemas.microsoft.com/office/drawing/2014/main" id="{86377DC9-3CFD-C357-33C8-982FEE0FF291}"/>
                </a:ext>
              </a:extLst>
            </xdr:cNvPr>
            <xdr:cNvCxnSpPr/>
          </xdr:nvCxnSpPr>
          <xdr:spPr>
            <a:xfrm>
              <a:off x="3601039" y="4737653"/>
              <a:ext cx="4594310" cy="0"/>
            </a:xfrm>
            <a:prstGeom prst="line">
              <a:avLst/>
            </a:prstGeom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0</xdr:colOff>
      <xdr:row>12</xdr:row>
      <xdr:rowOff>126429</xdr:rowOff>
    </xdr:from>
    <xdr:to>
      <xdr:col>7</xdr:col>
      <xdr:colOff>131379</xdr:colOff>
      <xdr:row>28</xdr:row>
      <xdr:rowOff>54820</xdr:rowOff>
    </xdr:to>
    <xdr:grpSp>
      <xdr:nvGrpSpPr>
        <xdr:cNvPr id="62" name="Agrupar 61">
          <a:extLst>
            <a:ext uri="{FF2B5EF4-FFF2-40B4-BE49-F238E27FC236}">
              <a16:creationId xmlns:a16="http://schemas.microsoft.com/office/drawing/2014/main" id="{950B34AF-34D7-6211-A29E-9601ED45A413}"/>
            </a:ext>
          </a:extLst>
        </xdr:cNvPr>
        <xdr:cNvGrpSpPr/>
      </xdr:nvGrpSpPr>
      <xdr:grpSpPr>
        <a:xfrm>
          <a:off x="0" y="3098229"/>
          <a:ext cx="4398579" cy="3890791"/>
          <a:chOff x="8321976" y="4329059"/>
          <a:chExt cx="4630937" cy="3100577"/>
        </a:xfrm>
      </xdr:grpSpPr>
      <xdr:graphicFrame macro="">
        <xdr:nvGraphicFramePr>
          <xdr:cNvPr id="24" name="Gráfico 23">
            <a:extLst>
              <a:ext uri="{FF2B5EF4-FFF2-40B4-BE49-F238E27FC236}">
                <a16:creationId xmlns:a16="http://schemas.microsoft.com/office/drawing/2014/main" id="{A945ADFB-B902-4012-901D-613D559E0819}"/>
              </a:ext>
            </a:extLst>
          </xdr:cNvPr>
          <xdr:cNvGraphicFramePr>
            <a:graphicFrameLocks/>
          </xdr:cNvGraphicFramePr>
        </xdr:nvGraphicFramePr>
        <xdr:xfrm>
          <a:off x="8321976" y="4686436"/>
          <a:ext cx="460298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3C67FCAF-17E9-64D0-B3E4-FF0085B19ED9}"/>
              </a:ext>
            </a:extLst>
          </xdr:cNvPr>
          <xdr:cNvSpPr txBox="1"/>
        </xdr:nvSpPr>
        <xdr:spPr>
          <a:xfrm>
            <a:off x="8321976" y="4329059"/>
            <a:ext cx="2065829" cy="523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2000">
                <a:solidFill>
                  <a:srgbClr val="FF0000"/>
                </a:solidFill>
              </a:rPr>
              <a:t>D</a:t>
            </a:r>
            <a:r>
              <a:rPr lang="pt-BR" sz="2000"/>
              <a:t>epartamento</a:t>
            </a:r>
          </a:p>
        </xdr:txBody>
      </xdr:sp>
      <xdr:cxnSp macro="">
        <xdr:nvCxnSpPr>
          <xdr:cNvPr id="43" name="Conector reto 42">
            <a:extLst>
              <a:ext uri="{FF2B5EF4-FFF2-40B4-BE49-F238E27FC236}">
                <a16:creationId xmlns:a16="http://schemas.microsoft.com/office/drawing/2014/main" id="{F18D844A-EEEA-21F4-AFDB-799299C13B50}"/>
              </a:ext>
            </a:extLst>
          </xdr:cNvPr>
          <xdr:cNvCxnSpPr/>
        </xdr:nvCxnSpPr>
        <xdr:spPr>
          <a:xfrm>
            <a:off x="8344197" y="4747233"/>
            <a:ext cx="4608716" cy="1230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545647</xdr:colOff>
      <xdr:row>12</xdr:row>
      <xdr:rowOff>83303</xdr:rowOff>
    </xdr:from>
    <xdr:to>
      <xdr:col>14</xdr:col>
      <xdr:colOff>266701</xdr:colOff>
      <xdr:row>30</xdr:row>
      <xdr:rowOff>0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B79D108E-52F5-FA17-000C-0F588DEE3A94}"/>
            </a:ext>
          </a:extLst>
        </xdr:cNvPr>
        <xdr:cNvGrpSpPr/>
      </xdr:nvGrpSpPr>
      <xdr:grpSpPr>
        <a:xfrm>
          <a:off x="2984047" y="3055103"/>
          <a:ext cx="5817054" cy="4374397"/>
          <a:chOff x="7248525" y="1614109"/>
          <a:chExt cx="5868895" cy="3186490"/>
        </a:xfrm>
      </xdr:grpSpPr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A15C1DFE-F40F-852F-A330-038358422259}"/>
              </a:ext>
            </a:extLst>
          </xdr:cNvPr>
          <xdr:cNvSpPr txBox="1"/>
        </xdr:nvSpPr>
        <xdr:spPr>
          <a:xfrm>
            <a:off x="8028259" y="1614109"/>
            <a:ext cx="1676296" cy="523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>
                <a:solidFill>
                  <a:srgbClr val="FF0000"/>
                </a:solidFill>
              </a:rPr>
              <a:t>S</a:t>
            </a:r>
            <a:r>
              <a:rPr lang="pt-BR" sz="2000"/>
              <a:t>tatus</a:t>
            </a:r>
          </a:p>
        </xdr:txBody>
      </xdr:sp>
      <xdr:cxnSp macro="">
        <xdr:nvCxnSpPr>
          <xdr:cNvPr id="40" name="Conector reto 39">
            <a:extLst>
              <a:ext uri="{FF2B5EF4-FFF2-40B4-BE49-F238E27FC236}">
                <a16:creationId xmlns:a16="http://schemas.microsoft.com/office/drawing/2014/main" id="{FE8039EE-87C6-ED59-11F3-F926BE0A0E8B}"/>
              </a:ext>
            </a:extLst>
          </xdr:cNvPr>
          <xdr:cNvCxnSpPr/>
        </xdr:nvCxnSpPr>
        <xdr:spPr>
          <a:xfrm>
            <a:off x="8564086" y="2032552"/>
            <a:ext cx="4553334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aphicFrame macro="">
        <xdr:nvGraphicFramePr>
          <xdr:cNvPr id="56" name="Gráfico 55">
            <a:extLst>
              <a:ext uri="{FF2B5EF4-FFF2-40B4-BE49-F238E27FC236}">
                <a16:creationId xmlns:a16="http://schemas.microsoft.com/office/drawing/2014/main" id="{A8B23970-91B0-414C-B0C2-5C69D97F91A9}"/>
              </a:ext>
            </a:extLst>
          </xdr:cNvPr>
          <xdr:cNvGraphicFramePr>
            <a:graphicFrameLocks/>
          </xdr:cNvGraphicFramePr>
        </xdr:nvGraphicFramePr>
        <xdr:xfrm>
          <a:off x="7248525" y="1933574"/>
          <a:ext cx="5334000" cy="2867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20</xdr:col>
      <xdr:colOff>342900</xdr:colOff>
      <xdr:row>12</xdr:row>
      <xdr:rowOff>64962</xdr:rowOff>
    </xdr:from>
    <xdr:to>
      <xdr:col>29</xdr:col>
      <xdr:colOff>0</xdr:colOff>
      <xdr:row>29</xdr:row>
      <xdr:rowOff>76199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717CB2D8-3E8F-0F8E-BC47-1E66E4034531}"/>
            </a:ext>
          </a:extLst>
        </xdr:cNvPr>
        <xdr:cNvGrpSpPr/>
      </xdr:nvGrpSpPr>
      <xdr:grpSpPr>
        <a:xfrm>
          <a:off x="12534900" y="3036762"/>
          <a:ext cx="4857750" cy="4221287"/>
          <a:chOff x="3367118" y="1596322"/>
          <a:chExt cx="4914169" cy="3128556"/>
        </a:xfrm>
      </xdr:grpSpPr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F2F7CFAB-385D-24DF-8A4D-100B67C78F82}"/>
              </a:ext>
            </a:extLst>
          </xdr:cNvPr>
          <xdr:cNvSpPr txBox="1"/>
        </xdr:nvSpPr>
        <xdr:spPr>
          <a:xfrm>
            <a:off x="3367118" y="1596322"/>
            <a:ext cx="1670090" cy="523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>
                <a:solidFill>
                  <a:srgbClr val="FF0000"/>
                </a:solidFill>
              </a:rPr>
              <a:t>C</a:t>
            </a:r>
            <a:r>
              <a:rPr lang="pt-BR" sz="2000"/>
              <a:t>argo</a:t>
            </a:r>
          </a:p>
        </xdr:txBody>
      </xdr:sp>
      <xdr:cxnSp macro="">
        <xdr:nvCxnSpPr>
          <xdr:cNvPr id="37" name="Conector reto 36">
            <a:extLst>
              <a:ext uri="{FF2B5EF4-FFF2-40B4-BE49-F238E27FC236}">
                <a16:creationId xmlns:a16="http://schemas.microsoft.com/office/drawing/2014/main" id="{A8FE4134-1341-AF53-6915-6F6389FC0494}"/>
              </a:ext>
            </a:extLst>
          </xdr:cNvPr>
          <xdr:cNvCxnSpPr/>
        </xdr:nvCxnSpPr>
        <xdr:spPr>
          <a:xfrm flipV="1">
            <a:off x="3650552" y="2034001"/>
            <a:ext cx="4630735" cy="47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aphicFrame macro="">
        <xdr:nvGraphicFramePr>
          <xdr:cNvPr id="57" name="Gráfico 56">
            <a:extLst>
              <a:ext uri="{FF2B5EF4-FFF2-40B4-BE49-F238E27FC236}">
                <a16:creationId xmlns:a16="http://schemas.microsoft.com/office/drawing/2014/main" id="{4495FE52-479A-472D-9618-3F6893A439DD}"/>
              </a:ext>
            </a:extLst>
          </xdr:cNvPr>
          <xdr:cNvGraphicFramePr>
            <a:graphicFrameLocks/>
          </xdr:cNvGraphicFramePr>
        </xdr:nvGraphicFramePr>
        <xdr:xfrm>
          <a:off x="3680516" y="2036923"/>
          <a:ext cx="4600771" cy="26879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-Leandro -Santos-" refreshedDate="46296.71905324074" createdVersion="8" refreshedVersion="8" minRefreshableVersion="3" recordCount="15" xr:uid="{C4DDC033-EFC4-4C62-B0B2-0440B37F25D3}">
  <cacheSource type="worksheet">
    <worksheetSource name="BaseDados"/>
  </cacheSource>
  <cacheFields count="10">
    <cacheField name="Matrícula" numFmtId="0">
      <sharedItems containsSemiMixedTypes="0" containsString="0" containsNumber="1" containsInteger="1" minValue="2001" maxValue="2015" count="15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Nome" numFmtId="0">
      <sharedItems count="15">
        <s v="Ana Souza"/>
        <s v="Carlos Lima"/>
        <s v="Marcos Silva"/>
        <s v="Juliana Costa"/>
        <s v="Roberto Dias"/>
        <s v="Fernanda Alves"/>
        <s v="Lucas Gomes"/>
        <s v="Patricia Rocha"/>
        <s v="Bruno Mendes"/>
        <s v="Camila Prado"/>
        <s v="Tiago Nunes"/>
        <s v="Aline Freitas"/>
        <s v="Diego Moreira"/>
        <s v="Renata Pires"/>
        <s v="Vitor Ramos"/>
      </sharedItems>
    </cacheField>
    <cacheField name="Sexo" numFmtId="0">
      <sharedItems count="2">
        <s v="F"/>
        <s v="M"/>
      </sharedItems>
    </cacheField>
    <cacheField name="Departamento" numFmtId="0">
      <sharedItems count="4">
        <s v="Atendimento"/>
        <s v="Operações"/>
        <s v="TI"/>
        <s v="Recursos Humanos"/>
      </sharedItems>
    </cacheField>
    <cacheField name="Cargo" numFmtId="0">
      <sharedItems count="8">
        <s v="Assistente"/>
        <s v="Analista Jr"/>
        <s v="Desenvolvedor"/>
        <s v="Supervisor"/>
        <s v="Analista Pleno"/>
        <s v="Suporte N1"/>
        <s v="HRBP"/>
        <s v="Engenheiro de Dados"/>
      </sharedItems>
    </cacheField>
    <cacheField name="Status" numFmtId="0">
      <sharedItems count="2">
        <s v="Ativo"/>
        <s v="Desligado"/>
      </sharedItems>
    </cacheField>
    <cacheField name="Salario" numFmtId="0">
      <sharedItems containsSemiMixedTypes="0" containsString="0" containsNumber="1" containsInteger="1" minValue="2100" maxValue="9200" count="11">
        <n v="2100"/>
        <n v="3200"/>
        <n v="6500"/>
        <n v="4500"/>
        <n v="5000"/>
        <n v="2500"/>
        <n v="4800"/>
        <n v="8500"/>
        <n v="9200"/>
        <n v="2800"/>
        <n v="4100"/>
      </sharedItems>
    </cacheField>
    <cacheField name="Horas Faltas" numFmtId="0">
      <sharedItems containsSemiMixedTypes="0" containsString="0" containsNumber="1" containsInteger="1" minValue="0" maxValue="40" count="7">
        <n v="0"/>
        <n v="12"/>
        <n v="8"/>
        <n v="24"/>
        <n v="16"/>
        <n v="4"/>
        <n v="40"/>
      </sharedItems>
    </cacheField>
    <cacheField name="Horas Escala" numFmtId="0">
      <sharedItems containsSemiMixedTypes="0" containsString="0" containsNumber="1" containsInteger="1" minValue="220" maxValue="220" count="1">
        <n v="220"/>
      </sharedItems>
    </cacheField>
    <cacheField name="Avaliação" numFmtId="0">
      <sharedItems containsSemiMixedTypes="0" containsString="0" containsNumber="1" containsInteger="1" minValue="55" maxValue="98" count="14">
        <n v="95"/>
        <n v="88"/>
        <n v="65"/>
        <n v="92"/>
        <n v="85"/>
        <n v="72"/>
        <n v="60"/>
        <n v="90"/>
        <n v="89"/>
        <n v="98"/>
        <n v="55"/>
        <n v="81"/>
        <n v="86"/>
        <n v="78"/>
      </sharedItems>
    </cacheField>
  </cacheFields>
  <extLst>
    <ext xmlns:x14="http://schemas.microsoft.com/office/spreadsheetml/2009/9/main" uri="{725AE2AE-9491-48be-B2B4-4EB974FC3084}">
      <x14:pivotCacheDefinition pivotCacheId="15410530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0"/>
    <x v="1"/>
  </r>
  <r>
    <x v="2"/>
    <x v="2"/>
    <x v="1"/>
    <x v="2"/>
    <x v="2"/>
    <x v="1"/>
    <x v="2"/>
    <x v="0"/>
    <x v="0"/>
    <x v="2"/>
  </r>
  <r>
    <x v="3"/>
    <x v="3"/>
    <x v="0"/>
    <x v="0"/>
    <x v="3"/>
    <x v="0"/>
    <x v="3"/>
    <x v="2"/>
    <x v="0"/>
    <x v="3"/>
  </r>
  <r>
    <x v="4"/>
    <x v="4"/>
    <x v="1"/>
    <x v="3"/>
    <x v="4"/>
    <x v="0"/>
    <x v="4"/>
    <x v="0"/>
    <x v="0"/>
    <x v="4"/>
  </r>
  <r>
    <x v="5"/>
    <x v="5"/>
    <x v="0"/>
    <x v="1"/>
    <x v="0"/>
    <x v="0"/>
    <x v="0"/>
    <x v="3"/>
    <x v="0"/>
    <x v="5"/>
  </r>
  <r>
    <x v="6"/>
    <x v="6"/>
    <x v="1"/>
    <x v="2"/>
    <x v="5"/>
    <x v="1"/>
    <x v="5"/>
    <x v="4"/>
    <x v="0"/>
    <x v="6"/>
  </r>
  <r>
    <x v="7"/>
    <x v="7"/>
    <x v="0"/>
    <x v="0"/>
    <x v="0"/>
    <x v="0"/>
    <x v="0"/>
    <x v="0"/>
    <x v="0"/>
    <x v="7"/>
  </r>
  <r>
    <x v="8"/>
    <x v="8"/>
    <x v="1"/>
    <x v="1"/>
    <x v="3"/>
    <x v="0"/>
    <x v="6"/>
    <x v="5"/>
    <x v="0"/>
    <x v="8"/>
  </r>
  <r>
    <x v="9"/>
    <x v="9"/>
    <x v="0"/>
    <x v="3"/>
    <x v="6"/>
    <x v="0"/>
    <x v="7"/>
    <x v="0"/>
    <x v="0"/>
    <x v="9"/>
  </r>
  <r>
    <x v="10"/>
    <x v="10"/>
    <x v="1"/>
    <x v="2"/>
    <x v="7"/>
    <x v="0"/>
    <x v="8"/>
    <x v="0"/>
    <x v="0"/>
    <x v="0"/>
  </r>
  <r>
    <x v="11"/>
    <x v="11"/>
    <x v="0"/>
    <x v="0"/>
    <x v="1"/>
    <x v="1"/>
    <x v="9"/>
    <x v="6"/>
    <x v="0"/>
    <x v="10"/>
  </r>
  <r>
    <x v="12"/>
    <x v="12"/>
    <x v="1"/>
    <x v="1"/>
    <x v="4"/>
    <x v="0"/>
    <x v="10"/>
    <x v="2"/>
    <x v="0"/>
    <x v="11"/>
  </r>
  <r>
    <x v="13"/>
    <x v="13"/>
    <x v="0"/>
    <x v="0"/>
    <x v="0"/>
    <x v="0"/>
    <x v="0"/>
    <x v="0"/>
    <x v="0"/>
    <x v="12"/>
  </r>
  <r>
    <x v="14"/>
    <x v="14"/>
    <x v="1"/>
    <x v="3"/>
    <x v="0"/>
    <x v="0"/>
    <x v="5"/>
    <x v="2"/>
    <x v="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8BBE2-C51E-496E-8FF7-A68B306B978D}" name="Tabela dinâ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F5:O20" firstHeaderRow="1" firstDataRow="1" firstDataCol="10"/>
  <pivotFields count="10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 defaultSubtotal="0">
      <items count="15">
        <item x="11"/>
        <item x="0"/>
        <item x="8"/>
        <item x="9"/>
        <item x="1"/>
        <item x="12"/>
        <item x="5"/>
        <item x="3"/>
        <item x="6"/>
        <item x="2"/>
        <item x="7"/>
        <item x="13"/>
        <item x="4"/>
        <item x="10"/>
        <item x="14"/>
      </items>
    </pivotField>
    <pivotField name="Gênero"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4">
        <item x="0"/>
        <item x="1"/>
        <item x="3"/>
        <item x="2"/>
      </items>
    </pivotField>
    <pivotField axis="axisRow" compact="0" outline="0" showAll="0" defaultSubtotal="0">
      <items count="8">
        <item x="1"/>
        <item x="4"/>
        <item x="0"/>
        <item x="2"/>
        <item x="7"/>
        <item x="6"/>
        <item x="3"/>
        <item x="5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1">
        <item x="0"/>
        <item x="5"/>
        <item x="9"/>
        <item x="1"/>
        <item x="10"/>
        <item x="3"/>
        <item x="6"/>
        <item x="4"/>
        <item x="2"/>
        <item x="7"/>
        <item x="8"/>
      </items>
    </pivotField>
    <pivotField axis="axisRow" compact="0" outline="0" showAll="0" defaultSubtotal="0">
      <items count="7">
        <item x="0"/>
        <item x="5"/>
        <item x="2"/>
        <item x="1"/>
        <item x="4"/>
        <item x="3"/>
        <item x="6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4">
        <item x="10"/>
        <item x="6"/>
        <item x="2"/>
        <item x="5"/>
        <item x="13"/>
        <item x="11"/>
        <item x="4"/>
        <item x="12"/>
        <item x="1"/>
        <item x="8"/>
        <item x="7"/>
        <item x="3"/>
        <item x="0"/>
        <item x="9"/>
      </items>
    </pivotField>
  </pivotFields>
  <rowFields count="10">
    <field x="1"/>
    <field x="2"/>
    <field x="0"/>
    <field x="3"/>
    <field x="4"/>
    <field x="5"/>
    <field x="8"/>
    <field x="7"/>
    <field x="9"/>
    <field x="6"/>
  </rowFields>
  <rowItems count="15">
    <i>
      <x/>
      <x/>
      <x v="11"/>
      <x/>
      <x/>
      <x v="1"/>
      <x/>
      <x v="6"/>
      <x/>
      <x v="2"/>
    </i>
    <i>
      <x v="1"/>
      <x/>
      <x/>
      <x/>
      <x v="2"/>
      <x/>
      <x/>
      <x/>
      <x v="12"/>
      <x/>
    </i>
    <i>
      <x v="2"/>
      <x v="1"/>
      <x v="8"/>
      <x v="1"/>
      <x v="6"/>
      <x/>
      <x/>
      <x v="1"/>
      <x v="9"/>
      <x v="6"/>
    </i>
    <i>
      <x v="3"/>
      <x/>
      <x v="9"/>
      <x v="2"/>
      <x v="5"/>
      <x/>
      <x/>
      <x/>
      <x v="13"/>
      <x v="9"/>
    </i>
    <i>
      <x v="4"/>
      <x v="1"/>
      <x v="1"/>
      <x v="1"/>
      <x/>
      <x/>
      <x/>
      <x v="3"/>
      <x v="8"/>
      <x v="3"/>
    </i>
    <i>
      <x v="5"/>
      <x v="1"/>
      <x v="12"/>
      <x v="1"/>
      <x v="1"/>
      <x/>
      <x/>
      <x v="2"/>
      <x v="5"/>
      <x v="4"/>
    </i>
    <i>
      <x v="6"/>
      <x/>
      <x v="5"/>
      <x v="1"/>
      <x v="2"/>
      <x/>
      <x/>
      <x v="5"/>
      <x v="3"/>
      <x/>
    </i>
    <i>
      <x v="7"/>
      <x/>
      <x v="3"/>
      <x/>
      <x v="6"/>
      <x/>
      <x/>
      <x v="2"/>
      <x v="11"/>
      <x v="5"/>
    </i>
    <i>
      <x v="8"/>
      <x v="1"/>
      <x v="6"/>
      <x v="3"/>
      <x v="7"/>
      <x v="1"/>
      <x/>
      <x v="4"/>
      <x v="1"/>
      <x v="1"/>
    </i>
    <i>
      <x v="9"/>
      <x v="1"/>
      <x v="2"/>
      <x v="3"/>
      <x v="3"/>
      <x v="1"/>
      <x/>
      <x/>
      <x v="2"/>
      <x v="8"/>
    </i>
    <i>
      <x v="10"/>
      <x/>
      <x v="7"/>
      <x/>
      <x v="2"/>
      <x/>
      <x/>
      <x/>
      <x v="10"/>
      <x/>
    </i>
    <i>
      <x v="11"/>
      <x/>
      <x v="13"/>
      <x/>
      <x v="2"/>
      <x/>
      <x/>
      <x/>
      <x v="7"/>
      <x/>
    </i>
    <i>
      <x v="12"/>
      <x v="1"/>
      <x v="4"/>
      <x v="2"/>
      <x v="1"/>
      <x/>
      <x/>
      <x/>
      <x v="6"/>
      <x v="7"/>
    </i>
    <i>
      <x v="13"/>
      <x v="1"/>
      <x v="10"/>
      <x v="3"/>
      <x v="4"/>
      <x/>
      <x/>
      <x/>
      <x v="12"/>
      <x v="10"/>
    </i>
    <i>
      <x v="14"/>
      <x v="1"/>
      <x v="14"/>
      <x v="2"/>
      <x v="2"/>
      <x/>
      <x/>
      <x v="2"/>
      <x v="4"/>
      <x v="1"/>
    </i>
  </rowItems>
  <colItems count="1">
    <i/>
  </colItems>
  <formats count="182"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1" type="button" dataOnly="0" labelOnly="1" outline="0" axis="axisRow" fieldPosition="0"/>
    </format>
    <format dxfId="178">
      <pivotArea field="2" type="button" dataOnly="0" labelOnly="1" outline="0" axis="axisRow" fieldPosition="1"/>
    </format>
    <format dxfId="177">
      <pivotArea field="0" type="button" dataOnly="0" labelOnly="1" outline="0" axis="axisRow" fieldPosition="2"/>
    </format>
    <format dxfId="176">
      <pivotArea field="3" type="button" dataOnly="0" labelOnly="1" outline="0" axis="axisRow" fieldPosition="3"/>
    </format>
    <format dxfId="175">
      <pivotArea field="4" type="button" dataOnly="0" labelOnly="1" outline="0" axis="axisRow" fieldPosition="4"/>
    </format>
    <format dxfId="174">
      <pivotArea field="5" type="button" dataOnly="0" labelOnly="1" outline="0" axis="axisRow" fieldPosition="5"/>
    </format>
    <format dxfId="173">
      <pivotArea field="8" type="button" dataOnly="0" labelOnly="1" outline="0" axis="axisRow" fieldPosition="6"/>
    </format>
    <format dxfId="172">
      <pivotArea field="7" type="button" dataOnly="0" labelOnly="1" outline="0" axis="axisRow" fieldPosition="7"/>
    </format>
    <format dxfId="171">
      <pivotArea field="9" type="button" dataOnly="0" labelOnly="1" outline="0" axis="axisRow" fieldPosition="8"/>
    </format>
    <format dxfId="170">
      <pivotArea dataOnly="0" labelOnly="1" outline="0" fieldPosition="0">
        <references count="1">
          <reference field="1" count="0"/>
        </references>
      </pivotArea>
    </format>
    <format dxfId="169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168">
      <pivotArea dataOnly="0" labelOnly="1" outline="0" fieldPosition="0">
        <references count="2">
          <reference field="1" count="1" selected="0">
            <x v="2"/>
          </reference>
          <reference field="2" count="1">
            <x v="1"/>
          </reference>
        </references>
      </pivotArea>
    </format>
    <format dxfId="167">
      <pivotArea dataOnly="0" labelOnly="1" outline="0" fieldPosition="0">
        <references count="2">
          <reference field="1" count="1" selected="0">
            <x v="3"/>
          </reference>
          <reference field="2" count="1">
            <x v="0"/>
          </reference>
        </references>
      </pivotArea>
    </format>
    <format dxfId="166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165">
      <pivotArea dataOnly="0" labelOnly="1" outline="0" fieldPosition="0">
        <references count="2">
          <reference field="1" count="1" selected="0">
            <x v="6"/>
          </reference>
          <reference field="2" count="1">
            <x v="0"/>
          </reference>
        </references>
      </pivotArea>
    </format>
    <format dxfId="164">
      <pivotArea dataOnly="0" labelOnly="1" outline="0" fieldPosition="0">
        <references count="2">
          <reference field="1" count="1" selected="0">
            <x v="8"/>
          </reference>
          <reference field="2" count="1">
            <x v="1"/>
          </reference>
        </references>
      </pivotArea>
    </format>
    <format dxfId="163">
      <pivotArea dataOnly="0" labelOnly="1" outline="0" fieldPosition="0">
        <references count="2">
          <reference field="1" count="1" selected="0">
            <x v="10"/>
          </reference>
          <reference field="2" count="1">
            <x v="0"/>
          </reference>
        </references>
      </pivotArea>
    </format>
    <format dxfId="162">
      <pivotArea dataOnly="0" labelOnly="1" outline="0" fieldPosition="0">
        <references count="2">
          <reference field="1" count="1" selected="0">
            <x v="12"/>
          </reference>
          <reference field="2" count="1">
            <x v="1"/>
          </reference>
        </references>
      </pivotArea>
    </format>
    <format dxfId="161">
      <pivotArea dataOnly="0" labelOnly="1" outline="0" fieldPosition="0">
        <references count="3">
          <reference field="0" count="1">
            <x v="11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  <format dxfId="160">
      <pivotArea dataOnly="0" labelOnly="1" outline="0" fieldPosition="0">
        <references count="3">
          <reference field="0" count="1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  <format dxfId="159">
      <pivotArea dataOnly="0" labelOnly="1" outline="0" fieldPosition="0">
        <references count="3">
          <reference field="0" count="1">
            <x v="8"/>
          </reference>
          <reference field="1" count="1" selected="0">
            <x v="2"/>
          </reference>
          <reference field="2" count="1" selected="0">
            <x v="1"/>
          </reference>
        </references>
      </pivotArea>
    </format>
    <format dxfId="158">
      <pivotArea dataOnly="0" labelOnly="1" outline="0" fieldPosition="0">
        <references count="3">
          <reference field="0" count="1">
            <x v="9"/>
          </reference>
          <reference field="1" count="1" selected="0">
            <x v="3"/>
          </reference>
          <reference field="2" count="1" selected="0">
            <x v="0"/>
          </reference>
        </references>
      </pivotArea>
    </format>
    <format dxfId="157">
      <pivotArea dataOnly="0" labelOnly="1" outline="0" fieldPosition="0">
        <references count="3">
          <reference field="0" count="1">
            <x v="1"/>
          </reference>
          <reference field="1" count="1" selected="0">
            <x v="4"/>
          </reference>
          <reference field="2" count="1" selected="0">
            <x v="1"/>
          </reference>
        </references>
      </pivotArea>
    </format>
    <format dxfId="156">
      <pivotArea dataOnly="0" labelOnly="1" outline="0" fieldPosition="0">
        <references count="3">
          <reference field="0" count="1">
            <x v="12"/>
          </reference>
          <reference field="1" count="1" selected="0">
            <x v="5"/>
          </reference>
          <reference field="2" count="1" selected="0">
            <x v="1"/>
          </reference>
        </references>
      </pivotArea>
    </format>
    <format dxfId="155">
      <pivotArea dataOnly="0" labelOnly="1" outline="0" fieldPosition="0">
        <references count="3">
          <reference field="0" count="1">
            <x v="5"/>
          </reference>
          <reference field="1" count="1" selected="0">
            <x v="6"/>
          </reference>
          <reference field="2" count="1" selected="0">
            <x v="0"/>
          </reference>
        </references>
      </pivotArea>
    </format>
    <format dxfId="154">
      <pivotArea dataOnly="0" labelOnly="1" outline="0" fieldPosition="0">
        <references count="3">
          <reference field="0" count="1">
            <x v="3"/>
          </reference>
          <reference field="1" count="1" selected="0">
            <x v="7"/>
          </reference>
          <reference field="2" count="1" selected="0">
            <x v="0"/>
          </reference>
        </references>
      </pivotArea>
    </format>
    <format dxfId="153">
      <pivotArea dataOnly="0" labelOnly="1" outline="0" fieldPosition="0">
        <references count="3">
          <reference field="0" count="1">
            <x v="6"/>
          </reference>
          <reference field="1" count="1" selected="0">
            <x v="8"/>
          </reference>
          <reference field="2" count="1" selected="0">
            <x v="1"/>
          </reference>
        </references>
      </pivotArea>
    </format>
    <format dxfId="152">
      <pivotArea dataOnly="0" labelOnly="1" outline="0" fieldPosition="0">
        <references count="3">
          <reference field="0" count="1">
            <x v="2"/>
          </reference>
          <reference field="1" count="1" selected="0">
            <x v="9"/>
          </reference>
          <reference field="2" count="1" selected="0">
            <x v="1"/>
          </reference>
        </references>
      </pivotArea>
    </format>
    <format dxfId="151">
      <pivotArea dataOnly="0" labelOnly="1" outline="0" fieldPosition="0">
        <references count="3">
          <reference field="0" count="1">
            <x v="7"/>
          </reference>
          <reference field="1" count="1" selected="0">
            <x v="10"/>
          </reference>
          <reference field="2" count="1" selected="0">
            <x v="0"/>
          </reference>
        </references>
      </pivotArea>
    </format>
    <format dxfId="150">
      <pivotArea dataOnly="0" labelOnly="1" outline="0" fieldPosition="0">
        <references count="3">
          <reference field="0" count="1">
            <x v="13"/>
          </reference>
          <reference field="1" count="1" selected="0">
            <x v="11"/>
          </reference>
          <reference field="2" count="1" selected="0">
            <x v="0"/>
          </reference>
        </references>
      </pivotArea>
    </format>
    <format dxfId="149">
      <pivotArea dataOnly="0" labelOnly="1" outline="0" fieldPosition="0">
        <references count="3">
          <reference field="0" count="1">
            <x v="4"/>
          </reference>
          <reference field="1" count="1" selected="0">
            <x v="12"/>
          </reference>
          <reference field="2" count="1" selected="0">
            <x v="1"/>
          </reference>
        </references>
      </pivotArea>
    </format>
    <format dxfId="148">
      <pivotArea dataOnly="0" labelOnly="1" outline="0" fieldPosition="0">
        <references count="3">
          <reference field="0" count="1">
            <x v="10"/>
          </reference>
          <reference field="1" count="1" selected="0">
            <x v="13"/>
          </reference>
          <reference field="2" count="1" selected="0">
            <x v="1"/>
          </reference>
        </references>
      </pivotArea>
    </format>
    <format dxfId="147">
      <pivotArea dataOnly="0" labelOnly="1" outline="0" fieldPosition="0">
        <references count="3">
          <reference field="0" count="1">
            <x v="14"/>
          </reference>
          <reference field="1" count="1" selected="0">
            <x v="14"/>
          </reference>
          <reference field="2" count="1" selected="0">
            <x v="1"/>
          </reference>
        </references>
      </pivotArea>
    </format>
    <format dxfId="146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45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14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14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14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41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3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138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1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7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14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136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3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34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1"/>
          </reference>
          <reference field="4" count="1">
            <x v="6"/>
          </reference>
        </references>
      </pivotArea>
    </format>
    <format dxfId="133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3"/>
          </reference>
          <reference field="2" count="1" selected="0">
            <x v="0"/>
          </reference>
          <reference field="3" count="1" selected="0">
            <x v="2"/>
          </reference>
          <reference field="4" count="1">
            <x v="5"/>
          </reference>
        </references>
      </pivotArea>
    </format>
    <format dxfId="13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4"/>
          </reference>
          <reference field="2" count="1" selected="0">
            <x v="1"/>
          </reference>
          <reference field="3" count="1" selected="0">
            <x v="1"/>
          </reference>
          <reference field="4" count="1">
            <x v="0"/>
          </reference>
        </references>
      </pivotArea>
    </format>
    <format dxfId="131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5"/>
          </reference>
          <reference field="2" count="1" selected="0">
            <x v="1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13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6"/>
          </reference>
          <reference field="2" count="1" selected="0">
            <x v="0"/>
          </reference>
          <reference field="3" count="1" selected="0">
            <x v="1"/>
          </reference>
          <reference field="4" count="1">
            <x v="2"/>
          </reference>
        </references>
      </pivotArea>
    </format>
    <format dxfId="12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6"/>
          </reference>
        </references>
      </pivotArea>
    </format>
    <format dxfId="1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2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12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2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1"/>
          </reference>
        </references>
      </pivotArea>
    </format>
    <format dxfId="124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1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123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14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122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1"/>
          </reference>
        </references>
      </pivotArea>
    </format>
    <format dxfId="12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>
            <x v="0"/>
          </reference>
        </references>
      </pivotArea>
    </format>
    <format dxfId="12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7"/>
          </reference>
          <reference field="5" count="1">
            <x v="1"/>
          </reference>
        </references>
      </pivotArea>
    </format>
    <format dxfId="11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>
            <x v="0"/>
          </reference>
        </references>
      </pivotArea>
    </format>
    <format dxfId="118">
      <pivotArea dataOnly="0" labelOnly="1" outline="0" fieldPosition="0">
        <references count="7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8" count="0"/>
        </references>
      </pivotArea>
    </format>
    <format dxfId="117">
      <pivotArea dataOnly="0" labelOnly="1" outline="0" fieldPosition="0">
        <references count="8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7" count="1">
            <x v="6"/>
          </reference>
          <reference field="8" count="0" selected="0"/>
        </references>
      </pivotArea>
    </format>
    <format dxfId="116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7" count="1">
            <x v="0"/>
          </reference>
          <reference field="8" count="0" selected="0"/>
        </references>
      </pivotArea>
    </format>
    <format dxfId="115">
      <pivotArea dataOnly="0" labelOnly="1" outline="0" fieldPosition="0">
        <references count="8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6"/>
          </reference>
          <reference field="5" count="1" selected="0">
            <x v="0"/>
          </reference>
          <reference field="7" count="1">
            <x v="1"/>
          </reference>
          <reference field="8" count="0" selected="0"/>
        </references>
      </pivotArea>
    </format>
    <format dxfId="114">
      <pivotArea dataOnly="0" labelOnly="1" outline="0" fieldPosition="0">
        <references count="8">
          <reference field="0" count="1" selected="0">
            <x v="9"/>
          </reference>
          <reference field="1" count="1" selected="0">
            <x v="3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5"/>
          </reference>
          <reference field="5" count="1" selected="0">
            <x v="0"/>
          </reference>
          <reference field="7" count="1">
            <x v="0"/>
          </reference>
          <reference field="8" count="0" selected="0"/>
        </references>
      </pivotArea>
    </format>
    <format dxfId="113">
      <pivotArea dataOnly="0" labelOnly="1" outline="0" fieldPosition="0">
        <references count="8">
          <reference field="0" count="1" selected="0">
            <x v="1"/>
          </reference>
          <reference field="1" count="1" selected="0">
            <x v="4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7" count="1">
            <x v="3"/>
          </reference>
          <reference field="8" count="0" selected="0"/>
        </references>
      </pivotArea>
    </format>
    <format dxfId="112">
      <pivotArea dataOnly="0" labelOnly="1" outline="0" fieldPosition="0">
        <references count="8">
          <reference field="0" count="1" selected="0">
            <x v="12"/>
          </reference>
          <reference field="1" count="1" selected="0">
            <x v="5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7" count="1">
            <x v="2"/>
          </reference>
          <reference field="8" count="0" selected="0"/>
        </references>
      </pivotArea>
    </format>
    <format dxfId="111">
      <pivotArea dataOnly="0" labelOnly="1" outline="0" fieldPosition="0">
        <references count="8">
          <reference field="0" count="1" selected="0">
            <x v="5"/>
          </reference>
          <reference field="1" count="1" selected="0">
            <x v="6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0"/>
          </reference>
          <reference field="7" count="1">
            <x v="5"/>
          </reference>
          <reference field="8" count="0" selected="0"/>
        </references>
      </pivotArea>
    </format>
    <format dxfId="110">
      <pivotArea dataOnly="0" labelOnly="1" outline="0" fieldPosition="0">
        <references count="8">
          <reference field="0" count="1" selected="0">
            <x v="3"/>
          </reference>
          <reference field="1" count="1" selected="0">
            <x v="7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0"/>
          </reference>
          <reference field="7" count="1">
            <x v="2"/>
          </reference>
          <reference field="8" count="0" selected="0"/>
        </references>
      </pivotArea>
    </format>
    <format dxfId="109">
      <pivotArea dataOnly="0" labelOnly="1" outline="0" fieldPosition="0">
        <references count="8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7"/>
          </reference>
          <reference field="5" count="1" selected="0">
            <x v="1"/>
          </reference>
          <reference field="7" count="1">
            <x v="4"/>
          </reference>
          <reference field="8" count="0" selected="0"/>
        </references>
      </pivotArea>
    </format>
    <format dxfId="108">
      <pivotArea dataOnly="0" labelOnly="1" outline="0" fieldPosition="0">
        <references count="8">
          <reference field="0" count="1" selected="0">
            <x v="2"/>
          </reference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1"/>
          </reference>
          <reference field="7" count="1">
            <x v="0"/>
          </reference>
          <reference field="8" count="0" selected="0"/>
        </references>
      </pivotArea>
    </format>
    <format dxfId="107">
      <pivotArea dataOnly="0" labelOnly="1" outline="0" fieldPosition="0">
        <references count="8">
          <reference field="0" count="1" selected="0">
            <x v="14"/>
          </reference>
          <reference field="1" count="1" selected="0">
            <x v="14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0"/>
          </reference>
          <reference field="7" count="1">
            <x v="2"/>
          </reference>
          <reference field="8" count="0" selected="0"/>
        </references>
      </pivotArea>
    </format>
    <format dxfId="106">
      <pivotArea dataOnly="0" labelOnly="1" outline="0" fieldPosition="0">
        <references count="9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6"/>
          </reference>
          <reference field="8" count="0" selected="0"/>
          <reference field="9" count="1">
            <x v="0"/>
          </reference>
        </references>
      </pivotArea>
    </format>
    <format dxfId="105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12"/>
          </reference>
        </references>
      </pivotArea>
    </format>
    <format dxfId="104">
      <pivotArea dataOnly="0" labelOnly="1" outline="0" fieldPosition="0">
        <references count="9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6"/>
          </reference>
          <reference field="5" count="1" selected="0">
            <x v="0"/>
          </reference>
          <reference field="7" count="1" selected="0">
            <x v="1"/>
          </reference>
          <reference field="8" count="0" selected="0"/>
          <reference field="9" count="1">
            <x v="9"/>
          </reference>
        </references>
      </pivotArea>
    </format>
    <format dxfId="103">
      <pivotArea dataOnly="0" labelOnly="1" outline="0" fieldPosition="0">
        <references count="9">
          <reference field="0" count="1" selected="0">
            <x v="9"/>
          </reference>
          <reference field="1" count="1" selected="0">
            <x v="3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5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13"/>
          </reference>
        </references>
      </pivotArea>
    </format>
    <format dxfId="102">
      <pivotArea dataOnly="0" labelOnly="1" outline="0" fieldPosition="0">
        <references count="9">
          <reference field="0" count="1" selected="0">
            <x v="1"/>
          </reference>
          <reference field="1" count="1" selected="0">
            <x v="4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  <reference field="8" count="0" selected="0"/>
          <reference field="9" count="1">
            <x v="8"/>
          </reference>
        </references>
      </pivotArea>
    </format>
    <format dxfId="101">
      <pivotArea dataOnly="0" labelOnly="1" outline="0" fieldPosition="0">
        <references count="9">
          <reference field="0" count="1" selected="0">
            <x v="12"/>
          </reference>
          <reference field="1" count="1" selected="0">
            <x v="5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7" count="1" selected="0">
            <x v="2"/>
          </reference>
          <reference field="8" count="0" selected="0"/>
          <reference field="9" count="1">
            <x v="5"/>
          </reference>
        </references>
      </pivotArea>
    </format>
    <format dxfId="100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6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0"/>
          </reference>
          <reference field="7" count="1" selected="0">
            <x v="5"/>
          </reference>
          <reference field="8" count="0" selected="0"/>
          <reference field="9" count="1">
            <x v="3"/>
          </reference>
        </references>
      </pivotArea>
    </format>
    <format dxfId="99">
      <pivotArea dataOnly="0" labelOnly="1" outline="0" fieldPosition="0">
        <references count="9">
          <reference field="0" count="1" selected="0">
            <x v="3"/>
          </reference>
          <reference field="1" count="1" selected="0">
            <x v="7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0"/>
          </reference>
          <reference field="7" count="1" selected="0">
            <x v="2"/>
          </reference>
          <reference field="8" count="0" selected="0"/>
          <reference field="9" count="1">
            <x v="11"/>
          </reference>
        </references>
      </pivotArea>
    </format>
    <format dxfId="98">
      <pivotArea dataOnly="0" labelOnly="1" outline="0" fieldPosition="0">
        <references count="9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7"/>
          </reference>
          <reference field="5" count="1" selected="0">
            <x v="1"/>
          </reference>
          <reference field="7" count="1" selected="0">
            <x v="4"/>
          </reference>
          <reference field="8" count="0" selected="0"/>
          <reference field="9" count="1">
            <x v="1"/>
          </reference>
        </references>
      </pivotArea>
    </format>
    <format dxfId="97">
      <pivotArea dataOnly="0" labelOnly="1" outline="0" fieldPosition="0">
        <references count="9">
          <reference field="0" count="1" selected="0">
            <x v="2"/>
          </reference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1"/>
          </reference>
          <reference field="7" count="1" selected="0">
            <x v="0"/>
          </reference>
          <reference field="8" count="0" selected="0"/>
          <reference field="9" count="1">
            <x v="2"/>
          </reference>
        </references>
      </pivotArea>
    </format>
    <format dxfId="96">
      <pivotArea dataOnly="0" labelOnly="1" outline="0" fieldPosition="0">
        <references count="9">
          <reference field="0" count="1" selected="0">
            <x v="7"/>
          </reference>
          <reference field="1" count="1" selected="0">
            <x v="1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10"/>
          </reference>
        </references>
      </pivotArea>
    </format>
    <format dxfId="95">
      <pivotArea dataOnly="0" labelOnly="1" outline="0" fieldPosition="0">
        <references count="9">
          <reference field="0" count="1" selected="0">
            <x v="13"/>
          </reference>
          <reference field="1" count="1" selected="0">
            <x v="1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7"/>
          </reference>
        </references>
      </pivotArea>
    </format>
    <format dxfId="94">
      <pivotArea dataOnly="0" labelOnly="1" outline="0" fieldPosition="0">
        <references count="9">
          <reference field="0" count="1" selected="0">
            <x v="4"/>
          </reference>
          <reference field="1" count="1" selected="0">
            <x v="12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6"/>
          </reference>
        </references>
      </pivotArea>
    </format>
    <format dxfId="93">
      <pivotArea dataOnly="0" labelOnly="1" outline="0" fieldPosition="0">
        <references count="9">
          <reference field="0" count="1" selected="0">
            <x v="10"/>
          </reference>
          <reference field="1" count="1" selected="0">
            <x v="13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4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12"/>
          </reference>
        </references>
      </pivotArea>
    </format>
    <format dxfId="92">
      <pivotArea dataOnly="0" labelOnly="1" outline="0" fieldPosition="0">
        <references count="9">
          <reference field="0" count="1" selected="0">
            <x v="14"/>
          </reference>
          <reference field="1" count="1" selected="0">
            <x v="14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0"/>
          </reference>
          <reference field="7" count="1" selected="0">
            <x v="2"/>
          </reference>
          <reference field="8" count="0" selected="0"/>
          <reference field="9" count="1">
            <x v="4"/>
          </reference>
        </references>
      </pivotArea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" type="button" dataOnly="0" labelOnly="1" outline="0" axis="axisRow" fieldPosition="0"/>
    </format>
    <format dxfId="87">
      <pivotArea field="2" type="button" dataOnly="0" labelOnly="1" outline="0" axis="axisRow" fieldPosition="1"/>
    </format>
    <format dxfId="86">
      <pivotArea field="0" type="button" dataOnly="0" labelOnly="1" outline="0" axis="axisRow" fieldPosition="2"/>
    </format>
    <format dxfId="85">
      <pivotArea field="3" type="button" dataOnly="0" labelOnly="1" outline="0" axis="axisRow" fieldPosition="3"/>
    </format>
    <format dxfId="84">
      <pivotArea field="4" type="button" dataOnly="0" labelOnly="1" outline="0" axis="axisRow" fieldPosition="4"/>
    </format>
    <format dxfId="83">
      <pivotArea field="5" type="button" dataOnly="0" labelOnly="1" outline="0" axis="axisRow" fieldPosition="5"/>
    </format>
    <format dxfId="82">
      <pivotArea field="8" type="button" dataOnly="0" labelOnly="1" outline="0" axis="axisRow" fieldPosition="6"/>
    </format>
    <format dxfId="81">
      <pivotArea field="7" type="button" dataOnly="0" labelOnly="1" outline="0" axis="axisRow" fieldPosition="7"/>
    </format>
    <format dxfId="80">
      <pivotArea field="9" type="button" dataOnly="0" labelOnly="1" outline="0" axis="axisRow" fieldPosition="8"/>
    </format>
    <format dxfId="79">
      <pivotArea dataOnly="0" labelOnly="1" outline="0" fieldPosition="0">
        <references count="1">
          <reference field="1" count="0"/>
        </references>
      </pivotArea>
    </format>
    <format dxfId="78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77">
      <pivotArea dataOnly="0" labelOnly="1" outline="0" fieldPosition="0">
        <references count="2">
          <reference field="1" count="1" selected="0">
            <x v="2"/>
          </reference>
          <reference field="2" count="1">
            <x v="1"/>
          </reference>
        </references>
      </pivotArea>
    </format>
    <format dxfId="76">
      <pivotArea dataOnly="0" labelOnly="1" outline="0" fieldPosition="0">
        <references count="2">
          <reference field="1" count="1" selected="0">
            <x v="3"/>
          </reference>
          <reference field="2" count="1">
            <x v="0"/>
          </reference>
        </references>
      </pivotArea>
    </format>
    <format dxfId="75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74">
      <pivotArea dataOnly="0" labelOnly="1" outline="0" fieldPosition="0">
        <references count="2">
          <reference field="1" count="1" selected="0">
            <x v="6"/>
          </reference>
          <reference field="2" count="1">
            <x v="0"/>
          </reference>
        </references>
      </pivotArea>
    </format>
    <format dxfId="73">
      <pivotArea dataOnly="0" labelOnly="1" outline="0" fieldPosition="0">
        <references count="2">
          <reference field="1" count="1" selected="0">
            <x v="8"/>
          </reference>
          <reference field="2" count="1">
            <x v="1"/>
          </reference>
        </references>
      </pivotArea>
    </format>
    <format dxfId="72">
      <pivotArea dataOnly="0" labelOnly="1" outline="0" fieldPosition="0">
        <references count="2">
          <reference field="1" count="1" selected="0">
            <x v="10"/>
          </reference>
          <reference field="2" count="1">
            <x v="0"/>
          </reference>
        </references>
      </pivotArea>
    </format>
    <format dxfId="71">
      <pivotArea dataOnly="0" labelOnly="1" outline="0" fieldPosition="0">
        <references count="2">
          <reference field="1" count="1" selected="0">
            <x v="12"/>
          </reference>
          <reference field="2" count="1">
            <x v="1"/>
          </reference>
        </references>
      </pivotArea>
    </format>
    <format dxfId="70">
      <pivotArea dataOnly="0" labelOnly="1" outline="0" fieldPosition="0">
        <references count="3">
          <reference field="0" count="1">
            <x v="11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  <format dxfId="69">
      <pivotArea dataOnly="0" labelOnly="1" outline="0" fieldPosition="0">
        <references count="3">
          <reference field="0" count="1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  <format dxfId="68">
      <pivotArea dataOnly="0" labelOnly="1" outline="0" fieldPosition="0">
        <references count="3">
          <reference field="0" count="1">
            <x v="8"/>
          </reference>
          <reference field="1" count="1" selected="0">
            <x v="2"/>
          </reference>
          <reference field="2" count="1" selected="0">
            <x v="1"/>
          </reference>
        </references>
      </pivotArea>
    </format>
    <format dxfId="67">
      <pivotArea dataOnly="0" labelOnly="1" outline="0" fieldPosition="0">
        <references count="3">
          <reference field="0" count="1">
            <x v="9"/>
          </reference>
          <reference field="1" count="1" selected="0">
            <x v="3"/>
          </reference>
          <reference field="2" count="1" selected="0">
            <x v="0"/>
          </reference>
        </references>
      </pivotArea>
    </format>
    <format dxfId="66">
      <pivotArea dataOnly="0" labelOnly="1" outline="0" fieldPosition="0">
        <references count="3">
          <reference field="0" count="1">
            <x v="1"/>
          </reference>
          <reference field="1" count="1" selected="0">
            <x v="4"/>
          </reference>
          <reference field="2" count="1" selected="0">
            <x v="1"/>
          </reference>
        </references>
      </pivotArea>
    </format>
    <format dxfId="65">
      <pivotArea dataOnly="0" labelOnly="1" outline="0" fieldPosition="0">
        <references count="3">
          <reference field="0" count="1">
            <x v="12"/>
          </reference>
          <reference field="1" count="1" selected="0">
            <x v="5"/>
          </reference>
          <reference field="2" count="1" selected="0">
            <x v="1"/>
          </reference>
        </references>
      </pivotArea>
    </format>
    <format dxfId="64">
      <pivotArea dataOnly="0" labelOnly="1" outline="0" fieldPosition="0">
        <references count="3">
          <reference field="0" count="1">
            <x v="5"/>
          </reference>
          <reference field="1" count="1" selected="0">
            <x v="6"/>
          </reference>
          <reference field="2" count="1" selected="0">
            <x v="0"/>
          </reference>
        </references>
      </pivotArea>
    </format>
    <format dxfId="63">
      <pivotArea dataOnly="0" labelOnly="1" outline="0" fieldPosition="0">
        <references count="3">
          <reference field="0" count="1">
            <x v="3"/>
          </reference>
          <reference field="1" count="1" selected="0">
            <x v="7"/>
          </reference>
          <reference field="2" count="1" selected="0">
            <x v="0"/>
          </reference>
        </references>
      </pivotArea>
    </format>
    <format dxfId="62">
      <pivotArea dataOnly="0" labelOnly="1" outline="0" fieldPosition="0">
        <references count="3">
          <reference field="0" count="1">
            <x v="6"/>
          </reference>
          <reference field="1" count="1" selected="0">
            <x v="8"/>
          </reference>
          <reference field="2" count="1" selected="0">
            <x v="1"/>
          </reference>
        </references>
      </pivotArea>
    </format>
    <format dxfId="61">
      <pivotArea dataOnly="0" labelOnly="1" outline="0" fieldPosition="0">
        <references count="3">
          <reference field="0" count="1">
            <x v="2"/>
          </reference>
          <reference field="1" count="1" selected="0">
            <x v="9"/>
          </reference>
          <reference field="2" count="1" selected="0">
            <x v="1"/>
          </reference>
        </references>
      </pivotArea>
    </format>
    <format dxfId="60">
      <pivotArea dataOnly="0" labelOnly="1" outline="0" fieldPosition="0">
        <references count="3">
          <reference field="0" count="1">
            <x v="7"/>
          </reference>
          <reference field="1" count="1" selected="0">
            <x v="10"/>
          </reference>
          <reference field="2" count="1" selected="0">
            <x v="0"/>
          </reference>
        </references>
      </pivotArea>
    </format>
    <format dxfId="59">
      <pivotArea dataOnly="0" labelOnly="1" outline="0" fieldPosition="0">
        <references count="3">
          <reference field="0" count="1">
            <x v="13"/>
          </reference>
          <reference field="1" count="1" selected="0">
            <x v="11"/>
          </reference>
          <reference field="2" count="1" selected="0">
            <x v="0"/>
          </reference>
        </references>
      </pivotArea>
    </format>
    <format dxfId="58">
      <pivotArea dataOnly="0" labelOnly="1" outline="0" fieldPosition="0">
        <references count="3">
          <reference field="0" count="1">
            <x v="4"/>
          </reference>
          <reference field="1" count="1" selected="0">
            <x v="12"/>
          </reference>
          <reference field="2" count="1" selected="0">
            <x v="1"/>
          </reference>
        </references>
      </pivotArea>
    </format>
    <format dxfId="57">
      <pivotArea dataOnly="0" labelOnly="1" outline="0" fieldPosition="0">
        <references count="3">
          <reference field="0" count="1">
            <x v="10"/>
          </reference>
          <reference field="1" count="1" selected="0">
            <x v="13"/>
          </reference>
          <reference field="2" count="1" selected="0">
            <x v="1"/>
          </reference>
        </references>
      </pivotArea>
    </format>
    <format dxfId="56">
      <pivotArea dataOnly="0" labelOnly="1" outline="0" fieldPosition="0">
        <references count="3">
          <reference field="0" count="1">
            <x v="14"/>
          </reference>
          <reference field="1" count="1" selected="0">
            <x v="14"/>
          </reference>
          <reference field="2" count="1" selected="0">
            <x v="1"/>
          </reference>
        </references>
      </pivotArea>
    </format>
    <format dxfId="55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4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5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5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5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4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47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1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6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14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45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4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43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1"/>
          </reference>
          <reference field="4" count="1">
            <x v="6"/>
          </reference>
        </references>
      </pivotArea>
    </format>
    <format dxfId="42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3"/>
          </reference>
          <reference field="2" count="1" selected="0">
            <x v="0"/>
          </reference>
          <reference field="3" count="1" selected="0">
            <x v="2"/>
          </reference>
          <reference field="4" count="1">
            <x v="5"/>
          </reference>
        </references>
      </pivotArea>
    </format>
    <format dxfId="4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4"/>
          </reference>
          <reference field="2" count="1" selected="0">
            <x v="1"/>
          </reference>
          <reference field="3" count="1" selected="0">
            <x v="1"/>
          </reference>
          <reference field="4" count="1">
            <x v="0"/>
          </reference>
        </references>
      </pivotArea>
    </format>
    <format dxfId="40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5"/>
          </reference>
          <reference field="2" count="1" selected="0">
            <x v="1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3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6"/>
          </reference>
          <reference field="2" count="1" selected="0">
            <x v="0"/>
          </reference>
          <reference field="3" count="1" selected="0">
            <x v="1"/>
          </reference>
          <reference field="4" count="1">
            <x v="2"/>
          </reference>
        </references>
      </pivotArea>
    </format>
    <format dxfId="3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6"/>
          </reference>
        </references>
      </pivotArea>
    </format>
    <format dxfId="3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3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3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3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2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1"/>
          </reference>
        </references>
      </pivotArea>
    </format>
    <format dxfId="33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1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32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14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1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>
            <x v="0"/>
          </reference>
        </references>
      </pivotArea>
    </format>
    <format dxfId="2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7"/>
          </reference>
          <reference field="5" count="1">
            <x v="1"/>
          </reference>
        </references>
      </pivotArea>
    </format>
    <format dxfId="2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>
            <x v="0"/>
          </reference>
        </references>
      </pivotArea>
    </format>
    <format dxfId="27">
      <pivotArea dataOnly="0" labelOnly="1" outline="0" fieldPosition="0">
        <references count="7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8" count="0"/>
        </references>
      </pivotArea>
    </format>
    <format dxfId="26">
      <pivotArea dataOnly="0" labelOnly="1" outline="0" fieldPosition="0">
        <references count="8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7" count="1">
            <x v="6"/>
          </reference>
          <reference field="8" count="0" selected="0"/>
        </references>
      </pivotArea>
    </format>
    <format dxfId="25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7" count="1">
            <x v="0"/>
          </reference>
          <reference field="8" count="0" selected="0"/>
        </references>
      </pivotArea>
    </format>
    <format dxfId="24">
      <pivotArea dataOnly="0" labelOnly="1" outline="0" fieldPosition="0">
        <references count="8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6"/>
          </reference>
          <reference field="5" count="1" selected="0">
            <x v="0"/>
          </reference>
          <reference field="7" count="1">
            <x v="1"/>
          </reference>
          <reference field="8" count="0" selected="0"/>
        </references>
      </pivotArea>
    </format>
    <format dxfId="23">
      <pivotArea dataOnly="0" labelOnly="1" outline="0" fieldPosition="0">
        <references count="8">
          <reference field="0" count="1" selected="0">
            <x v="9"/>
          </reference>
          <reference field="1" count="1" selected="0">
            <x v="3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5"/>
          </reference>
          <reference field="5" count="1" selected="0">
            <x v="0"/>
          </reference>
          <reference field="7" count="1">
            <x v="0"/>
          </reference>
          <reference field="8" count="0" selected="0"/>
        </references>
      </pivotArea>
    </format>
    <format dxfId="22">
      <pivotArea dataOnly="0" labelOnly="1" outline="0" fieldPosition="0">
        <references count="8">
          <reference field="0" count="1" selected="0">
            <x v="1"/>
          </reference>
          <reference field="1" count="1" selected="0">
            <x v="4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7" count="1">
            <x v="3"/>
          </reference>
          <reference field="8" count="0" selected="0"/>
        </references>
      </pivotArea>
    </format>
    <format dxfId="21">
      <pivotArea dataOnly="0" labelOnly="1" outline="0" fieldPosition="0">
        <references count="8">
          <reference field="0" count="1" selected="0">
            <x v="12"/>
          </reference>
          <reference field="1" count="1" selected="0">
            <x v="5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7" count="1">
            <x v="2"/>
          </reference>
          <reference field="8" count="0" selected="0"/>
        </references>
      </pivotArea>
    </format>
    <format dxfId="20">
      <pivotArea dataOnly="0" labelOnly="1" outline="0" fieldPosition="0">
        <references count="8">
          <reference field="0" count="1" selected="0">
            <x v="5"/>
          </reference>
          <reference field="1" count="1" selected="0">
            <x v="6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0"/>
          </reference>
          <reference field="7" count="1">
            <x v="5"/>
          </reference>
          <reference field="8" count="0" selected="0"/>
        </references>
      </pivotArea>
    </format>
    <format dxfId="19">
      <pivotArea dataOnly="0" labelOnly="1" outline="0" fieldPosition="0">
        <references count="8">
          <reference field="0" count="1" selected="0">
            <x v="3"/>
          </reference>
          <reference field="1" count="1" selected="0">
            <x v="7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0"/>
          </reference>
          <reference field="7" count="1">
            <x v="2"/>
          </reference>
          <reference field="8" count="0" selected="0"/>
        </references>
      </pivotArea>
    </format>
    <format dxfId="18">
      <pivotArea dataOnly="0" labelOnly="1" outline="0" fieldPosition="0">
        <references count="8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7"/>
          </reference>
          <reference field="5" count="1" selected="0">
            <x v="1"/>
          </reference>
          <reference field="7" count="1">
            <x v="4"/>
          </reference>
          <reference field="8" count="0" selected="0"/>
        </references>
      </pivotArea>
    </format>
    <format dxfId="17">
      <pivotArea dataOnly="0" labelOnly="1" outline="0" fieldPosition="0">
        <references count="8">
          <reference field="0" count="1" selected="0">
            <x v="2"/>
          </reference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1"/>
          </reference>
          <reference field="7" count="1">
            <x v="0"/>
          </reference>
          <reference field="8" count="0" selected="0"/>
        </references>
      </pivotArea>
    </format>
    <format dxfId="16">
      <pivotArea dataOnly="0" labelOnly="1" outline="0" fieldPosition="0">
        <references count="8">
          <reference field="0" count="1" selected="0">
            <x v="14"/>
          </reference>
          <reference field="1" count="1" selected="0">
            <x v="14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0"/>
          </reference>
          <reference field="7" count="1">
            <x v="2"/>
          </reference>
          <reference field="8" count="0" selected="0"/>
        </references>
      </pivotArea>
    </format>
    <format dxfId="15">
      <pivotArea dataOnly="0" labelOnly="1" outline="0" fieldPosition="0">
        <references count="9">
          <reference field="0" count="1" selected="0">
            <x v="1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6"/>
          </reference>
          <reference field="8" count="0" selected="0"/>
          <reference field="9" count="1">
            <x v="0"/>
          </reference>
        </references>
      </pivotArea>
    </format>
    <format dxfId="14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12"/>
          </reference>
        </references>
      </pivotArea>
    </format>
    <format dxfId="13">
      <pivotArea dataOnly="0" labelOnly="1" outline="0" fieldPosition="0">
        <references count="9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6"/>
          </reference>
          <reference field="5" count="1" selected="0">
            <x v="0"/>
          </reference>
          <reference field="7" count="1" selected="0">
            <x v="1"/>
          </reference>
          <reference field="8" count="0" selected="0"/>
          <reference field="9" count="1">
            <x v="9"/>
          </reference>
        </references>
      </pivotArea>
    </format>
    <format dxfId="12">
      <pivotArea dataOnly="0" labelOnly="1" outline="0" fieldPosition="0">
        <references count="9">
          <reference field="0" count="1" selected="0">
            <x v="9"/>
          </reference>
          <reference field="1" count="1" selected="0">
            <x v="3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5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13"/>
          </reference>
        </references>
      </pivotArea>
    </format>
    <format dxfId="11">
      <pivotArea dataOnly="0" labelOnly="1" outline="0" fieldPosition="0">
        <references count="9">
          <reference field="0" count="1" selected="0">
            <x v="1"/>
          </reference>
          <reference field="1" count="1" selected="0">
            <x v="4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  <reference field="8" count="0" selected="0"/>
          <reference field="9" count="1">
            <x v="8"/>
          </reference>
        </references>
      </pivotArea>
    </format>
    <format dxfId="10">
      <pivotArea dataOnly="0" labelOnly="1" outline="0" fieldPosition="0">
        <references count="9">
          <reference field="0" count="1" selected="0">
            <x v="12"/>
          </reference>
          <reference field="1" count="1" selected="0">
            <x v="5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7" count="1" selected="0">
            <x v="2"/>
          </reference>
          <reference field="8" count="0" selected="0"/>
          <reference field="9" count="1">
            <x v="5"/>
          </reference>
        </references>
      </pivotArea>
    </format>
    <format dxfId="9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6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0"/>
          </reference>
          <reference field="7" count="1" selected="0">
            <x v="5"/>
          </reference>
          <reference field="8" count="0" selected="0"/>
          <reference field="9" count="1">
            <x v="3"/>
          </reference>
        </references>
      </pivotArea>
    </format>
    <format dxfId="8">
      <pivotArea dataOnly="0" labelOnly="1" outline="0" fieldPosition="0">
        <references count="9">
          <reference field="0" count="1" selected="0">
            <x v="3"/>
          </reference>
          <reference field="1" count="1" selected="0">
            <x v="7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0"/>
          </reference>
          <reference field="7" count="1" selected="0">
            <x v="2"/>
          </reference>
          <reference field="8" count="0" selected="0"/>
          <reference field="9" count="1">
            <x v="11"/>
          </reference>
        </references>
      </pivotArea>
    </format>
    <format dxfId="7">
      <pivotArea dataOnly="0" labelOnly="1" outline="0" fieldPosition="0">
        <references count="9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7"/>
          </reference>
          <reference field="5" count="1" selected="0">
            <x v="1"/>
          </reference>
          <reference field="7" count="1" selected="0">
            <x v="4"/>
          </reference>
          <reference field="8" count="0" selected="0"/>
          <reference field="9" count="1">
            <x v="1"/>
          </reference>
        </references>
      </pivotArea>
    </format>
    <format dxfId="6">
      <pivotArea dataOnly="0" labelOnly="1" outline="0" fieldPosition="0">
        <references count="9">
          <reference field="0" count="1" selected="0">
            <x v="2"/>
          </reference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1"/>
          </reference>
          <reference field="7" count="1" selected="0">
            <x v="0"/>
          </reference>
          <reference field="8" count="0" selected="0"/>
          <reference field="9" count="1">
            <x v="2"/>
          </reference>
        </references>
      </pivotArea>
    </format>
    <format dxfId="5">
      <pivotArea dataOnly="0" labelOnly="1" outline="0" fieldPosition="0">
        <references count="9">
          <reference field="0" count="1" selected="0">
            <x v="7"/>
          </reference>
          <reference field="1" count="1" selected="0">
            <x v="1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10"/>
          </reference>
        </references>
      </pivotArea>
    </format>
    <format dxfId="4">
      <pivotArea dataOnly="0" labelOnly="1" outline="0" fieldPosition="0">
        <references count="9">
          <reference field="0" count="1" selected="0">
            <x v="13"/>
          </reference>
          <reference field="1" count="1" selected="0">
            <x v="1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7"/>
          </reference>
        </references>
      </pivotArea>
    </format>
    <format dxfId="3">
      <pivotArea dataOnly="0" labelOnly="1" outline="0" fieldPosition="0">
        <references count="9">
          <reference field="0" count="1" selected="0">
            <x v="4"/>
          </reference>
          <reference field="1" count="1" selected="0">
            <x v="12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6"/>
          </reference>
        </references>
      </pivotArea>
    </format>
    <format dxfId="2">
      <pivotArea dataOnly="0" labelOnly="1" outline="0" fieldPosition="0">
        <references count="9">
          <reference field="0" count="1" selected="0">
            <x v="10"/>
          </reference>
          <reference field="1" count="1" selected="0">
            <x v="13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4"/>
          </reference>
          <reference field="5" count="1" selected="0">
            <x v="0"/>
          </reference>
          <reference field="7" count="1" selected="0">
            <x v="0"/>
          </reference>
          <reference field="8" count="0" selected="0"/>
          <reference field="9" count="1">
            <x v="12"/>
          </reference>
        </references>
      </pivotArea>
    </format>
    <format dxfId="1">
      <pivotArea dataOnly="0" labelOnly="1" outline="0" fieldPosition="0">
        <references count="9">
          <reference field="0" count="1" selected="0">
            <x v="14"/>
          </reference>
          <reference field="1" count="1" selected="0">
            <x v="14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0"/>
          </reference>
          <reference field="7" count="1" selected="0">
            <x v="2"/>
          </reference>
          <reference field="8" count="0" selected="0"/>
          <reference field="9" count="1">
            <x v="4"/>
          </reference>
        </references>
      </pivotArea>
    </format>
    <format dxfId="0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o" xr10:uid="{4362AC24-24AF-478B-8894-B79E78926681}" sourceName="Sexo">
  <pivotTables>
    <pivotTable tabId="2" name="Tabela dinâmica3"/>
  </pivotTables>
  <data>
    <tabular pivotCacheId="1541053056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artamento" xr10:uid="{F278315D-0776-484C-A726-538F0E2D7DC7}" sourceName="Departamento">
  <pivotTables>
    <pivotTable tabId="2" name="Tabela dinâmica3"/>
  </pivotTables>
  <data>
    <tabular pivotCacheId="1541053056">
      <items count="4">
        <i x="0" s="1"/>
        <i x="1" s="1"/>
        <i x="3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rgo" xr10:uid="{81308192-1ACD-4AC6-BD59-8B6D0D2E48F2}" sourceName="Cargo">
  <pivotTables>
    <pivotTable tabId="2" name="Tabela dinâmica3"/>
  </pivotTables>
  <data>
    <tabular pivotCacheId="1541053056">
      <items count="8">
        <i x="1" s="1"/>
        <i x="4" s="1"/>
        <i x="0" s="1"/>
        <i x="2" s="1"/>
        <i x="7" s="1"/>
        <i x="6" s="1"/>
        <i x="3" s="1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2341C1DA-A6BF-460F-B742-6E3E9008AEC8}" sourceName="Status">
  <pivotTables>
    <pivotTable tabId="2" name="Tabela dinâmica3"/>
  </pivotTables>
  <data>
    <tabular pivotCacheId="1541053056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ênero" xr10:uid="{C43C6E56-3F2E-49AB-A5C0-7CB58B49FD60}" cache="SegmentaçãodeDados_Sexo" caption="Gênero" columnCount="2" rowHeight="257175"/>
  <slicer name="Departamento" xr10:uid="{B2ADCE46-EEC1-4334-AB03-A511136904A1}" cache="SegmentaçãodeDados_Departamento" caption="Departamento" columnCount="2" rowHeight="257175"/>
  <slicer name="Cargo" xr10:uid="{E2907061-E8C1-4E93-B257-BE2256DF5A6B}" cache="SegmentaçãodeDados_Cargo" caption="Cargo" columnCount="2" rowHeight="257175"/>
  <slicer name="Status" xr10:uid="{FF8E3155-6E23-475C-A2B7-68FFDAEA2F67}" cache="SegmentaçãodeDados_Status" caption="Status" columnCount="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72607-85D4-47FD-B5E7-F304E39A98AC}" name="BaseDados" displayName="BaseDados" ref="A1:J16" totalsRowShown="0" headerRowDxfId="196" dataDxfId="194" headerRowBorderDxfId="195" tableBorderDxfId="193" totalsRowBorderDxfId="192">
  <autoFilter ref="A1:J16" xr:uid="{DBD72607-85D4-47FD-B5E7-F304E39A98AC}"/>
  <tableColumns count="10">
    <tableColumn id="1" xr3:uid="{EDE8FB90-B9AE-4C90-86AC-592C3B3BD9C5}" name="Matrícula" dataDxfId="191"/>
    <tableColumn id="2" xr3:uid="{6BDC46C3-2D48-446F-86FD-195CB6C6C815}" name="Nome" dataDxfId="190"/>
    <tableColumn id="10" xr3:uid="{EAE09BD9-1CC4-4E61-B7CF-9589F4EA431C}" name="Gênero" dataDxfId="189"/>
    <tableColumn id="3" xr3:uid="{0AE3C590-3E3C-4AA4-A3ED-6B4946DBAA94}" name="Departamento" dataDxfId="188"/>
    <tableColumn id="4" xr3:uid="{86E6C033-9AF3-4426-BFA1-1B5D7F2FE7D7}" name="Cargo" dataDxfId="187"/>
    <tableColumn id="5" xr3:uid="{E63A2E2B-76D2-4512-BF63-447E578C2B85}" name="Status" dataDxfId="186"/>
    <tableColumn id="6" xr3:uid="{0F7CC496-67C2-4DA2-A50D-A77FC20EA715}" name="Salario" dataDxfId="185"/>
    <tableColumn id="7" xr3:uid="{89085EEA-E727-47B5-8511-24B14A14A9BB}" name="Horas Faltas" dataDxfId="184"/>
    <tableColumn id="8" xr3:uid="{CC56F547-8FB8-4A11-9FD6-27996E5ADC42}" name="Horas Escala" dataDxfId="183"/>
    <tableColumn id="9" xr3:uid="{5790E5C5-C286-4035-AF36-9BDB2E63B0AF}" name="Avaliação" dataDxfId="18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4A47-2B36-4C08-BB56-41E4F5879684}">
  <dimension ref="A1:AA35"/>
  <sheetViews>
    <sheetView workbookViewId="0">
      <selection activeCell="E12" sqref="E12"/>
    </sheetView>
  </sheetViews>
  <sheetFormatPr defaultColWidth="0" defaultRowHeight="15" zeroHeight="1" x14ac:dyDescent="0.25"/>
  <cols>
    <col min="1" max="1" width="13.85546875" bestFit="1" customWidth="1"/>
    <col min="2" max="2" width="14.5703125" bestFit="1" customWidth="1"/>
    <col min="3" max="3" width="14.5703125" customWidth="1"/>
    <col min="4" max="4" width="18.7109375" bestFit="1" customWidth="1"/>
    <col min="5" max="5" width="14" bestFit="1" customWidth="1"/>
    <col min="6" max="6" width="11.28515625" bestFit="1" customWidth="1"/>
    <col min="7" max="7" width="11.7109375" bestFit="1" customWidth="1"/>
    <col min="8" max="8" width="16.5703125" bestFit="1" customWidth="1"/>
    <col min="9" max="9" width="17" bestFit="1" customWidth="1"/>
    <col min="10" max="10" width="14" bestFit="1" customWidth="1"/>
    <col min="11" max="11" width="14" customWidth="1"/>
    <col min="12" max="27" width="9.140625" customWidth="1"/>
    <col min="28" max="16384" width="9.140625" hidden="1"/>
  </cols>
  <sheetData>
    <row r="1" spans="1:12" ht="15.75" x14ac:dyDescent="0.25">
      <c r="A1" s="8" t="s">
        <v>15</v>
      </c>
      <c r="B1" s="9" t="s">
        <v>16</v>
      </c>
      <c r="C1" s="9" t="s">
        <v>65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10" t="s">
        <v>23</v>
      </c>
      <c r="K1" s="2"/>
      <c r="L1" s="1" t="s">
        <v>0</v>
      </c>
    </row>
    <row r="2" spans="1:12" ht="15.75" x14ac:dyDescent="0.25">
      <c r="A2" s="6">
        <v>2001</v>
      </c>
      <c r="B2" s="4" t="s">
        <v>25</v>
      </c>
      <c r="C2" s="4" t="s">
        <v>54</v>
      </c>
      <c r="D2" s="4" t="s">
        <v>40</v>
      </c>
      <c r="E2" s="4" t="s">
        <v>44</v>
      </c>
      <c r="F2" s="4" t="s">
        <v>52</v>
      </c>
      <c r="G2" s="4">
        <v>2100</v>
      </c>
      <c r="H2" s="4">
        <v>0</v>
      </c>
      <c r="I2" s="4">
        <v>220</v>
      </c>
      <c r="J2" s="7">
        <v>95</v>
      </c>
      <c r="K2" s="5"/>
      <c r="L2" s="1" t="s">
        <v>24</v>
      </c>
    </row>
    <row r="3" spans="1:12" ht="15.75" x14ac:dyDescent="0.25">
      <c r="A3" s="6">
        <v>2002</v>
      </c>
      <c r="B3" s="4" t="s">
        <v>26</v>
      </c>
      <c r="C3" s="4" t="s">
        <v>55</v>
      </c>
      <c r="D3" s="4" t="s">
        <v>41</v>
      </c>
      <c r="E3" s="4" t="s">
        <v>45</v>
      </c>
      <c r="F3" s="4" t="s">
        <v>52</v>
      </c>
      <c r="G3" s="4">
        <v>3200</v>
      </c>
      <c r="H3" s="4">
        <v>12</v>
      </c>
      <c r="I3" s="4">
        <v>220</v>
      </c>
      <c r="J3" s="7">
        <v>88</v>
      </c>
      <c r="K3" s="5"/>
      <c r="L3" s="1" t="s">
        <v>1</v>
      </c>
    </row>
    <row r="4" spans="1:12" ht="15.75" x14ac:dyDescent="0.25">
      <c r="A4" s="6">
        <v>2003</v>
      </c>
      <c r="B4" s="4" t="s">
        <v>27</v>
      </c>
      <c r="C4" s="4" t="s">
        <v>55</v>
      </c>
      <c r="D4" s="4" t="s">
        <v>42</v>
      </c>
      <c r="E4" s="4" t="s">
        <v>46</v>
      </c>
      <c r="F4" s="4" t="s">
        <v>53</v>
      </c>
      <c r="G4" s="4">
        <v>6500</v>
      </c>
      <c r="H4" s="4">
        <v>0</v>
      </c>
      <c r="I4" s="4">
        <v>220</v>
      </c>
      <c r="J4" s="7">
        <v>65</v>
      </c>
      <c r="K4" s="5"/>
      <c r="L4" s="1" t="s">
        <v>2</v>
      </c>
    </row>
    <row r="5" spans="1:12" ht="15.75" x14ac:dyDescent="0.25">
      <c r="A5" s="6">
        <v>2004</v>
      </c>
      <c r="B5" s="4" t="s">
        <v>28</v>
      </c>
      <c r="C5" s="4" t="s">
        <v>54</v>
      </c>
      <c r="D5" s="4" t="s">
        <v>40</v>
      </c>
      <c r="E5" s="4" t="s">
        <v>47</v>
      </c>
      <c r="F5" s="4" t="s">
        <v>52</v>
      </c>
      <c r="G5" s="4">
        <v>4500</v>
      </c>
      <c r="H5" s="4">
        <v>8</v>
      </c>
      <c r="I5" s="4">
        <v>220</v>
      </c>
      <c r="J5" s="7">
        <v>92</v>
      </c>
      <c r="K5" s="5"/>
      <c r="L5" s="1" t="s">
        <v>3</v>
      </c>
    </row>
    <row r="6" spans="1:12" ht="15.75" x14ac:dyDescent="0.25">
      <c r="A6" s="6">
        <v>2005</v>
      </c>
      <c r="B6" s="4" t="s">
        <v>29</v>
      </c>
      <c r="C6" s="4" t="s">
        <v>55</v>
      </c>
      <c r="D6" s="4" t="s">
        <v>43</v>
      </c>
      <c r="E6" s="4" t="s">
        <v>48</v>
      </c>
      <c r="F6" s="4" t="s">
        <v>52</v>
      </c>
      <c r="G6" s="4">
        <v>5000</v>
      </c>
      <c r="H6" s="4">
        <v>0</v>
      </c>
      <c r="I6" s="4">
        <v>220</v>
      </c>
      <c r="J6" s="7">
        <v>85</v>
      </c>
      <c r="K6" s="5"/>
      <c r="L6" s="1" t="s">
        <v>4</v>
      </c>
    </row>
    <row r="7" spans="1:12" ht="15.75" x14ac:dyDescent="0.25">
      <c r="A7" s="6">
        <v>2006</v>
      </c>
      <c r="B7" s="4" t="s">
        <v>30</v>
      </c>
      <c r="C7" s="4" t="s">
        <v>54</v>
      </c>
      <c r="D7" s="4" t="s">
        <v>41</v>
      </c>
      <c r="E7" s="4" t="s">
        <v>44</v>
      </c>
      <c r="F7" s="4" t="s">
        <v>52</v>
      </c>
      <c r="G7" s="4">
        <v>2100</v>
      </c>
      <c r="H7" s="4">
        <v>24</v>
      </c>
      <c r="I7" s="4">
        <v>220</v>
      </c>
      <c r="J7" s="7">
        <v>72</v>
      </c>
      <c r="K7" s="5"/>
      <c r="L7" s="1" t="s">
        <v>5</v>
      </c>
    </row>
    <row r="8" spans="1:12" ht="15.75" x14ac:dyDescent="0.25">
      <c r="A8" s="6">
        <v>2007</v>
      </c>
      <c r="B8" s="4" t="s">
        <v>31</v>
      </c>
      <c r="C8" s="4" t="s">
        <v>55</v>
      </c>
      <c r="D8" s="4" t="s">
        <v>42</v>
      </c>
      <c r="E8" s="4" t="s">
        <v>49</v>
      </c>
      <c r="F8" s="4" t="s">
        <v>53</v>
      </c>
      <c r="G8" s="4">
        <v>2500</v>
      </c>
      <c r="H8" s="4">
        <v>16</v>
      </c>
      <c r="I8" s="4">
        <v>220</v>
      </c>
      <c r="J8" s="7">
        <v>60</v>
      </c>
      <c r="K8" s="5"/>
      <c r="L8" s="1" t="s">
        <v>6</v>
      </c>
    </row>
    <row r="9" spans="1:12" ht="15.75" x14ac:dyDescent="0.25">
      <c r="A9" s="6">
        <v>2008</v>
      </c>
      <c r="B9" s="4" t="s">
        <v>32</v>
      </c>
      <c r="C9" s="4" t="s">
        <v>54</v>
      </c>
      <c r="D9" s="4" t="s">
        <v>40</v>
      </c>
      <c r="E9" s="4" t="s">
        <v>44</v>
      </c>
      <c r="F9" s="4" t="s">
        <v>52</v>
      </c>
      <c r="G9" s="4">
        <v>2100</v>
      </c>
      <c r="H9" s="4">
        <v>0</v>
      </c>
      <c r="I9" s="4">
        <v>220</v>
      </c>
      <c r="J9" s="7">
        <v>90</v>
      </c>
      <c r="K9" s="5"/>
      <c r="L9" s="1" t="s">
        <v>7</v>
      </c>
    </row>
    <row r="10" spans="1:12" ht="15.75" x14ac:dyDescent="0.25">
      <c r="A10" s="6">
        <v>2009</v>
      </c>
      <c r="B10" s="4" t="s">
        <v>33</v>
      </c>
      <c r="C10" s="4" t="s">
        <v>55</v>
      </c>
      <c r="D10" s="4" t="s">
        <v>41</v>
      </c>
      <c r="E10" s="4" t="s">
        <v>47</v>
      </c>
      <c r="F10" s="4" t="s">
        <v>52</v>
      </c>
      <c r="G10" s="4">
        <v>4800</v>
      </c>
      <c r="H10" s="4">
        <v>4</v>
      </c>
      <c r="I10" s="4">
        <v>220</v>
      </c>
      <c r="J10" s="7">
        <v>89</v>
      </c>
      <c r="K10" s="5"/>
      <c r="L10" s="1" t="s">
        <v>8</v>
      </c>
    </row>
    <row r="11" spans="1:12" ht="15.75" x14ac:dyDescent="0.25">
      <c r="A11" s="6">
        <v>2010</v>
      </c>
      <c r="B11" s="4" t="s">
        <v>34</v>
      </c>
      <c r="C11" s="4" t="s">
        <v>54</v>
      </c>
      <c r="D11" s="4" t="s">
        <v>43</v>
      </c>
      <c r="E11" s="4" t="s">
        <v>50</v>
      </c>
      <c r="F11" s="4" t="s">
        <v>52</v>
      </c>
      <c r="G11" s="4">
        <v>8500</v>
      </c>
      <c r="H11" s="4">
        <v>0</v>
      </c>
      <c r="I11" s="4">
        <v>220</v>
      </c>
      <c r="J11" s="7">
        <v>98</v>
      </c>
      <c r="K11" s="5"/>
      <c r="L11" s="1" t="s">
        <v>9</v>
      </c>
    </row>
    <row r="12" spans="1:12" ht="15.75" x14ac:dyDescent="0.25">
      <c r="A12" s="6">
        <v>2011</v>
      </c>
      <c r="B12" s="4" t="s">
        <v>35</v>
      </c>
      <c r="C12" s="4" t="s">
        <v>55</v>
      </c>
      <c r="D12" s="4" t="s">
        <v>42</v>
      </c>
      <c r="E12" s="4" t="s">
        <v>51</v>
      </c>
      <c r="F12" s="4" t="s">
        <v>52</v>
      </c>
      <c r="G12" s="4">
        <v>9200</v>
      </c>
      <c r="H12" s="4">
        <v>0</v>
      </c>
      <c r="I12" s="4">
        <v>220</v>
      </c>
      <c r="J12" s="7">
        <v>95</v>
      </c>
      <c r="K12" s="5"/>
      <c r="L12" s="1" t="s">
        <v>10</v>
      </c>
    </row>
    <row r="13" spans="1:12" ht="15.75" x14ac:dyDescent="0.25">
      <c r="A13" s="6">
        <v>2012</v>
      </c>
      <c r="B13" s="4" t="s">
        <v>36</v>
      </c>
      <c r="C13" s="4" t="s">
        <v>54</v>
      </c>
      <c r="D13" s="4" t="s">
        <v>40</v>
      </c>
      <c r="E13" s="4" t="s">
        <v>45</v>
      </c>
      <c r="F13" s="4" t="s">
        <v>53</v>
      </c>
      <c r="G13" s="4">
        <v>2800</v>
      </c>
      <c r="H13" s="4">
        <v>40</v>
      </c>
      <c r="I13" s="4">
        <v>220</v>
      </c>
      <c r="J13" s="7">
        <v>55</v>
      </c>
      <c r="K13" s="5"/>
      <c r="L13" s="1" t="s">
        <v>11</v>
      </c>
    </row>
    <row r="14" spans="1:12" ht="15.75" x14ac:dyDescent="0.25">
      <c r="A14" s="6">
        <v>2013</v>
      </c>
      <c r="B14" s="4" t="s">
        <v>37</v>
      </c>
      <c r="C14" s="4" t="s">
        <v>55</v>
      </c>
      <c r="D14" s="4" t="s">
        <v>41</v>
      </c>
      <c r="E14" s="4" t="s">
        <v>48</v>
      </c>
      <c r="F14" s="4" t="s">
        <v>52</v>
      </c>
      <c r="G14" s="4">
        <v>4100</v>
      </c>
      <c r="H14" s="4">
        <v>8</v>
      </c>
      <c r="I14" s="4">
        <v>220</v>
      </c>
      <c r="J14" s="7">
        <v>81</v>
      </c>
      <c r="K14" s="5"/>
      <c r="L14" s="1" t="s">
        <v>12</v>
      </c>
    </row>
    <row r="15" spans="1:12" ht="15.75" x14ac:dyDescent="0.25">
      <c r="A15" s="6">
        <v>2014</v>
      </c>
      <c r="B15" s="4" t="s">
        <v>38</v>
      </c>
      <c r="C15" s="4" t="s">
        <v>54</v>
      </c>
      <c r="D15" s="4" t="s">
        <v>40</v>
      </c>
      <c r="E15" s="4" t="s">
        <v>44</v>
      </c>
      <c r="F15" s="4" t="s">
        <v>52</v>
      </c>
      <c r="G15" s="4">
        <v>2100</v>
      </c>
      <c r="H15" s="4">
        <v>0</v>
      </c>
      <c r="I15" s="4">
        <v>220</v>
      </c>
      <c r="J15" s="7">
        <v>86</v>
      </c>
      <c r="K15" s="5"/>
      <c r="L15" s="1" t="s">
        <v>13</v>
      </c>
    </row>
    <row r="16" spans="1:12" ht="15.75" x14ac:dyDescent="0.25">
      <c r="A16" s="11">
        <v>2015</v>
      </c>
      <c r="B16" s="12" t="s">
        <v>39</v>
      </c>
      <c r="C16" s="4" t="s">
        <v>55</v>
      </c>
      <c r="D16" s="12" t="s">
        <v>43</v>
      </c>
      <c r="E16" s="12" t="s">
        <v>44</v>
      </c>
      <c r="F16" s="12" t="s">
        <v>52</v>
      </c>
      <c r="G16" s="12">
        <v>2500</v>
      </c>
      <c r="H16" s="12">
        <v>8</v>
      </c>
      <c r="I16" s="12">
        <v>220</v>
      </c>
      <c r="J16" s="13">
        <v>78</v>
      </c>
      <c r="K16" s="5"/>
      <c r="L16" s="1" t="s">
        <v>14</v>
      </c>
    </row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7144-7696-446D-82D0-E4BEAB53AE0F}">
  <dimension ref="A2:O83"/>
  <sheetViews>
    <sheetView topLeftCell="A34" zoomScale="175" zoomScaleNormal="175" workbookViewId="0">
      <selection activeCell="Z42" sqref="Z42"/>
    </sheetView>
  </sheetViews>
  <sheetFormatPr defaultRowHeight="15" x14ac:dyDescent="0.25"/>
  <cols>
    <col min="1" max="1" width="19.5703125" bestFit="1" customWidth="1"/>
    <col min="2" max="2" width="11.85546875" style="2" bestFit="1" customWidth="1"/>
    <col min="6" max="6" width="28" bestFit="1" customWidth="1"/>
    <col min="7" max="7" width="15.42578125" bestFit="1" customWidth="1"/>
    <col min="8" max="11" width="17.85546875" bestFit="1" customWidth="1"/>
    <col min="12" max="12" width="11.7109375" bestFit="1" customWidth="1"/>
    <col min="13" max="13" width="15.42578125" bestFit="1" customWidth="1"/>
    <col min="14" max="15" width="11.7109375" bestFit="1" customWidth="1"/>
  </cols>
  <sheetData>
    <row r="2" spans="1:15" x14ac:dyDescent="0.25">
      <c r="A2" s="3" t="s">
        <v>56</v>
      </c>
      <c r="B2" s="3"/>
    </row>
    <row r="3" spans="1:15" x14ac:dyDescent="0.25">
      <c r="A3" s="3" t="s">
        <v>54</v>
      </c>
      <c r="B3" s="3">
        <f>COUNTIF(G:G,A3)</f>
        <v>7</v>
      </c>
      <c r="C3" s="17">
        <f t="shared" ref="C3:C4" si="0">B3/SUM(B$7:B$10)</f>
        <v>0.46666666666666667</v>
      </c>
    </row>
    <row r="4" spans="1:15" x14ac:dyDescent="0.25">
      <c r="A4" s="3" t="s">
        <v>55</v>
      </c>
      <c r="B4" s="3">
        <f>COUNTIF(G:G,A4)</f>
        <v>8</v>
      </c>
      <c r="C4" s="17">
        <f t="shared" si="0"/>
        <v>0.53333333333333333</v>
      </c>
    </row>
    <row r="5" spans="1:15" x14ac:dyDescent="0.25">
      <c r="F5" s="14" t="s">
        <v>16</v>
      </c>
      <c r="G5" s="14" t="s">
        <v>65</v>
      </c>
      <c r="H5" s="14" t="s">
        <v>15</v>
      </c>
      <c r="I5" s="14" t="s">
        <v>17</v>
      </c>
      <c r="J5" s="14" t="s">
        <v>18</v>
      </c>
      <c r="K5" s="14" t="s">
        <v>19</v>
      </c>
      <c r="L5" s="14" t="s">
        <v>22</v>
      </c>
      <c r="M5" s="14" t="s">
        <v>21</v>
      </c>
      <c r="N5" s="14" t="s">
        <v>23</v>
      </c>
      <c r="O5" s="14" t="s">
        <v>20</v>
      </c>
    </row>
    <row r="6" spans="1:15" x14ac:dyDescent="0.25">
      <c r="A6" s="3" t="s">
        <v>57</v>
      </c>
      <c r="B6" s="3"/>
      <c r="F6" s="4" t="s">
        <v>36</v>
      </c>
      <c r="G6" s="4" t="s">
        <v>54</v>
      </c>
      <c r="H6" s="4">
        <v>2012</v>
      </c>
      <c r="I6" s="4" t="s">
        <v>40</v>
      </c>
      <c r="J6" s="4" t="s">
        <v>45</v>
      </c>
      <c r="K6" s="4" t="s">
        <v>53</v>
      </c>
      <c r="L6" s="4">
        <v>220</v>
      </c>
      <c r="M6" s="4">
        <v>40</v>
      </c>
      <c r="N6" s="4">
        <v>55</v>
      </c>
      <c r="O6" s="4">
        <v>2800</v>
      </c>
    </row>
    <row r="7" spans="1:15" x14ac:dyDescent="0.25">
      <c r="A7" s="3" t="s">
        <v>40</v>
      </c>
      <c r="B7" s="3">
        <f>COUNTIF(I:I,A7)</f>
        <v>5</v>
      </c>
      <c r="C7" s="17">
        <f>B7/SUM(B$7:B$10)</f>
        <v>0.33333333333333331</v>
      </c>
      <c r="F7" s="4" t="s">
        <v>25</v>
      </c>
      <c r="G7" s="4" t="s">
        <v>54</v>
      </c>
      <c r="H7" s="4">
        <v>2001</v>
      </c>
      <c r="I7" s="4" t="s">
        <v>40</v>
      </c>
      <c r="J7" s="4" t="s">
        <v>44</v>
      </c>
      <c r="K7" s="4" t="s">
        <v>52</v>
      </c>
      <c r="L7" s="4">
        <v>220</v>
      </c>
      <c r="M7" s="4">
        <v>0</v>
      </c>
      <c r="N7" s="4">
        <v>95</v>
      </c>
      <c r="O7" s="4">
        <v>2100</v>
      </c>
    </row>
    <row r="8" spans="1:15" x14ac:dyDescent="0.25">
      <c r="A8" s="3" t="s">
        <v>41</v>
      </c>
      <c r="B8" s="3">
        <f>COUNTIF(I:I,A8)</f>
        <v>4</v>
      </c>
      <c r="C8" s="17">
        <f t="shared" ref="C8:C10" si="1">B8/SUM(B$7:B$10)</f>
        <v>0.26666666666666666</v>
      </c>
      <c r="F8" s="4" t="s">
        <v>33</v>
      </c>
      <c r="G8" s="4" t="s">
        <v>55</v>
      </c>
      <c r="H8" s="4">
        <v>2009</v>
      </c>
      <c r="I8" s="4" t="s">
        <v>41</v>
      </c>
      <c r="J8" s="4" t="s">
        <v>47</v>
      </c>
      <c r="K8" s="4" t="s">
        <v>52</v>
      </c>
      <c r="L8" s="4">
        <v>220</v>
      </c>
      <c r="M8" s="4">
        <v>4</v>
      </c>
      <c r="N8" s="4">
        <v>89</v>
      </c>
      <c r="O8" s="4">
        <v>4800</v>
      </c>
    </row>
    <row r="9" spans="1:15" x14ac:dyDescent="0.25">
      <c r="A9" s="3" t="s">
        <v>43</v>
      </c>
      <c r="B9" s="3">
        <f>COUNTIF(I:I,A9)</f>
        <v>3</v>
      </c>
      <c r="C9" s="17">
        <f t="shared" si="1"/>
        <v>0.2</v>
      </c>
      <c r="F9" s="4" t="s">
        <v>34</v>
      </c>
      <c r="G9" s="4" t="s">
        <v>54</v>
      </c>
      <c r="H9" s="4">
        <v>2010</v>
      </c>
      <c r="I9" s="4" t="s">
        <v>43</v>
      </c>
      <c r="J9" s="4" t="s">
        <v>50</v>
      </c>
      <c r="K9" s="4" t="s">
        <v>52</v>
      </c>
      <c r="L9" s="4">
        <v>220</v>
      </c>
      <c r="M9" s="4">
        <v>0</v>
      </c>
      <c r="N9" s="4">
        <v>98</v>
      </c>
      <c r="O9" s="4">
        <v>8500</v>
      </c>
    </row>
    <row r="10" spans="1:15" x14ac:dyDescent="0.25">
      <c r="A10" s="3" t="s">
        <v>42</v>
      </c>
      <c r="B10" s="3">
        <f>COUNTIF(I:I,A10)</f>
        <v>3</v>
      </c>
      <c r="C10" s="17">
        <f t="shared" si="1"/>
        <v>0.2</v>
      </c>
      <c r="F10" s="4" t="s">
        <v>26</v>
      </c>
      <c r="G10" s="4" t="s">
        <v>55</v>
      </c>
      <c r="H10" s="4">
        <v>2002</v>
      </c>
      <c r="I10" s="4" t="s">
        <v>41</v>
      </c>
      <c r="J10" s="4" t="s">
        <v>45</v>
      </c>
      <c r="K10" s="4" t="s">
        <v>52</v>
      </c>
      <c r="L10" s="4">
        <v>220</v>
      </c>
      <c r="M10" s="4">
        <v>12</v>
      </c>
      <c r="N10" s="4">
        <v>88</v>
      </c>
      <c r="O10" s="4">
        <v>3200</v>
      </c>
    </row>
    <row r="11" spans="1:15" x14ac:dyDescent="0.25">
      <c r="F11" s="4" t="s">
        <v>37</v>
      </c>
      <c r="G11" s="4" t="s">
        <v>55</v>
      </c>
      <c r="H11" s="4">
        <v>2013</v>
      </c>
      <c r="I11" s="4" t="s">
        <v>41</v>
      </c>
      <c r="J11" s="4" t="s">
        <v>48</v>
      </c>
      <c r="K11" s="4" t="s">
        <v>52</v>
      </c>
      <c r="L11" s="4">
        <v>220</v>
      </c>
      <c r="M11" s="4">
        <v>8</v>
      </c>
      <c r="N11" s="4">
        <v>81</v>
      </c>
      <c r="O11" s="4">
        <v>4100</v>
      </c>
    </row>
    <row r="12" spans="1:15" x14ac:dyDescent="0.25">
      <c r="A12" s="3" t="s">
        <v>58</v>
      </c>
      <c r="B12" s="3"/>
      <c r="F12" s="4" t="s">
        <v>30</v>
      </c>
      <c r="G12" s="4" t="s">
        <v>54</v>
      </c>
      <c r="H12" s="4">
        <v>2006</v>
      </c>
      <c r="I12" s="4" t="s">
        <v>41</v>
      </c>
      <c r="J12" s="4" t="s">
        <v>44</v>
      </c>
      <c r="K12" s="4" t="s">
        <v>52</v>
      </c>
      <c r="L12" s="4">
        <v>220</v>
      </c>
      <c r="M12" s="4">
        <v>24</v>
      </c>
      <c r="N12" s="4">
        <v>72</v>
      </c>
      <c r="O12" s="4">
        <v>2100</v>
      </c>
    </row>
    <row r="13" spans="1:15" x14ac:dyDescent="0.25">
      <c r="A13" s="3" t="s">
        <v>45</v>
      </c>
      <c r="B13" s="3" cm="1">
        <f t="array" ref="B13:B20">COUNTIF($J$6:$J$20,$A$13:$A$20)</f>
        <v>2</v>
      </c>
      <c r="C13" s="17">
        <f>B13/SUM(B$13:B$20)</f>
        <v>0.13333333333333333</v>
      </c>
      <c r="F13" s="4" t="s">
        <v>28</v>
      </c>
      <c r="G13" s="4" t="s">
        <v>54</v>
      </c>
      <c r="H13" s="4">
        <v>2004</v>
      </c>
      <c r="I13" s="4" t="s">
        <v>40</v>
      </c>
      <c r="J13" s="4" t="s">
        <v>47</v>
      </c>
      <c r="K13" s="4" t="s">
        <v>52</v>
      </c>
      <c r="L13" s="4">
        <v>220</v>
      </c>
      <c r="M13" s="4">
        <v>8</v>
      </c>
      <c r="N13" s="4">
        <v>92</v>
      </c>
      <c r="O13" s="4">
        <v>4500</v>
      </c>
    </row>
    <row r="14" spans="1:15" x14ac:dyDescent="0.25">
      <c r="A14" s="3" t="s">
        <v>44</v>
      </c>
      <c r="B14" s="3">
        <v>5</v>
      </c>
      <c r="C14" s="17">
        <f t="shared" ref="C14:C20" si="2">B14/SUM(B$13:B$20)</f>
        <v>0.33333333333333331</v>
      </c>
      <c r="F14" s="4" t="s">
        <v>31</v>
      </c>
      <c r="G14" s="4" t="s">
        <v>55</v>
      </c>
      <c r="H14" s="4">
        <v>2007</v>
      </c>
      <c r="I14" s="4" t="s">
        <v>42</v>
      </c>
      <c r="J14" s="4" t="s">
        <v>49</v>
      </c>
      <c r="K14" s="4" t="s">
        <v>53</v>
      </c>
      <c r="L14" s="4">
        <v>220</v>
      </c>
      <c r="M14" s="4">
        <v>16</v>
      </c>
      <c r="N14" s="4">
        <v>60</v>
      </c>
      <c r="O14" s="4">
        <v>2500</v>
      </c>
    </row>
    <row r="15" spans="1:15" x14ac:dyDescent="0.25">
      <c r="A15" s="3" t="s">
        <v>47</v>
      </c>
      <c r="B15" s="3">
        <v>2</v>
      </c>
      <c r="C15" s="17">
        <f t="shared" si="2"/>
        <v>0.13333333333333333</v>
      </c>
      <c r="F15" s="4" t="s">
        <v>27</v>
      </c>
      <c r="G15" s="4" t="s">
        <v>55</v>
      </c>
      <c r="H15" s="4">
        <v>2003</v>
      </c>
      <c r="I15" s="4" t="s">
        <v>42</v>
      </c>
      <c r="J15" s="4" t="s">
        <v>46</v>
      </c>
      <c r="K15" s="4" t="s">
        <v>53</v>
      </c>
      <c r="L15" s="4">
        <v>220</v>
      </c>
      <c r="M15" s="4">
        <v>0</v>
      </c>
      <c r="N15" s="4">
        <v>65</v>
      </c>
      <c r="O15" s="4">
        <v>6500</v>
      </c>
    </row>
    <row r="16" spans="1:15" x14ac:dyDescent="0.25">
      <c r="A16" s="3" t="s">
        <v>50</v>
      </c>
      <c r="B16" s="3">
        <v>1</v>
      </c>
      <c r="C16" s="17">
        <f t="shared" si="2"/>
        <v>6.6666666666666666E-2</v>
      </c>
      <c r="F16" s="4" t="s">
        <v>32</v>
      </c>
      <c r="G16" s="4" t="s">
        <v>54</v>
      </c>
      <c r="H16" s="4">
        <v>2008</v>
      </c>
      <c r="I16" s="4" t="s">
        <v>40</v>
      </c>
      <c r="J16" s="4" t="s">
        <v>44</v>
      </c>
      <c r="K16" s="4" t="s">
        <v>52</v>
      </c>
      <c r="L16" s="4">
        <v>220</v>
      </c>
      <c r="M16" s="4">
        <v>0</v>
      </c>
      <c r="N16" s="4">
        <v>90</v>
      </c>
      <c r="O16" s="4">
        <v>2100</v>
      </c>
    </row>
    <row r="17" spans="1:15" x14ac:dyDescent="0.25">
      <c r="A17" s="3" t="s">
        <v>48</v>
      </c>
      <c r="B17" s="3">
        <v>2</v>
      </c>
      <c r="C17" s="17">
        <f t="shared" si="2"/>
        <v>0.13333333333333333</v>
      </c>
      <c r="F17" s="4" t="s">
        <v>38</v>
      </c>
      <c r="G17" s="4" t="s">
        <v>54</v>
      </c>
      <c r="H17" s="4">
        <v>2014</v>
      </c>
      <c r="I17" s="4" t="s">
        <v>40</v>
      </c>
      <c r="J17" s="4" t="s">
        <v>44</v>
      </c>
      <c r="K17" s="4" t="s">
        <v>52</v>
      </c>
      <c r="L17" s="4">
        <v>220</v>
      </c>
      <c r="M17" s="4">
        <v>0</v>
      </c>
      <c r="N17" s="4">
        <v>86</v>
      </c>
      <c r="O17" s="4">
        <v>2100</v>
      </c>
    </row>
    <row r="18" spans="1:15" x14ac:dyDescent="0.25">
      <c r="A18" s="3" t="s">
        <v>49</v>
      </c>
      <c r="B18" s="3">
        <v>1</v>
      </c>
      <c r="C18" s="17">
        <f t="shared" si="2"/>
        <v>6.6666666666666666E-2</v>
      </c>
      <c r="F18" s="4" t="s">
        <v>29</v>
      </c>
      <c r="G18" s="4" t="s">
        <v>55</v>
      </c>
      <c r="H18" s="4">
        <v>2005</v>
      </c>
      <c r="I18" s="4" t="s">
        <v>43</v>
      </c>
      <c r="J18" s="4" t="s">
        <v>48</v>
      </c>
      <c r="K18" s="4" t="s">
        <v>52</v>
      </c>
      <c r="L18" s="4">
        <v>220</v>
      </c>
      <c r="M18" s="4">
        <v>0</v>
      </c>
      <c r="N18" s="4">
        <v>85</v>
      </c>
      <c r="O18" s="4">
        <v>5000</v>
      </c>
    </row>
    <row r="19" spans="1:15" x14ac:dyDescent="0.25">
      <c r="A19" s="3" t="s">
        <v>46</v>
      </c>
      <c r="B19" s="3">
        <v>1</v>
      </c>
      <c r="C19" s="17">
        <f t="shared" si="2"/>
        <v>6.6666666666666666E-2</v>
      </c>
      <c r="F19" s="4" t="s">
        <v>35</v>
      </c>
      <c r="G19" s="4" t="s">
        <v>55</v>
      </c>
      <c r="H19" s="4">
        <v>2011</v>
      </c>
      <c r="I19" s="4" t="s">
        <v>42</v>
      </c>
      <c r="J19" s="4" t="s">
        <v>51</v>
      </c>
      <c r="K19" s="4" t="s">
        <v>52</v>
      </c>
      <c r="L19" s="4">
        <v>220</v>
      </c>
      <c r="M19" s="4">
        <v>0</v>
      </c>
      <c r="N19" s="4">
        <v>95</v>
      </c>
      <c r="O19" s="4">
        <v>9200</v>
      </c>
    </row>
    <row r="20" spans="1:15" x14ac:dyDescent="0.25">
      <c r="A20" s="3" t="s">
        <v>51</v>
      </c>
      <c r="B20" s="3">
        <v>1</v>
      </c>
      <c r="C20" s="17">
        <f t="shared" si="2"/>
        <v>6.6666666666666666E-2</v>
      </c>
      <c r="F20" s="4" t="s">
        <v>39</v>
      </c>
      <c r="G20" s="4" t="s">
        <v>55</v>
      </c>
      <c r="H20" s="4">
        <v>2015</v>
      </c>
      <c r="I20" s="4" t="s">
        <v>43</v>
      </c>
      <c r="J20" s="4" t="s">
        <v>44</v>
      </c>
      <c r="K20" s="4" t="s">
        <v>52</v>
      </c>
      <c r="L20" s="4">
        <v>220</v>
      </c>
      <c r="M20" s="4">
        <v>8</v>
      </c>
      <c r="N20" s="4">
        <v>78</v>
      </c>
      <c r="O20" s="4">
        <v>2500</v>
      </c>
    </row>
    <row r="22" spans="1:15" x14ac:dyDescent="0.25">
      <c r="A22" s="3" t="s">
        <v>59</v>
      </c>
      <c r="B22" s="3"/>
    </row>
    <row r="23" spans="1:15" x14ac:dyDescent="0.25">
      <c r="A23" s="3" t="s">
        <v>52</v>
      </c>
      <c r="B23" s="3" cm="1">
        <f t="array" ref="B23:B24">COUNTIF($K:$K,$A23:$A24)</f>
        <v>12</v>
      </c>
      <c r="C23" s="17">
        <f>B23/SUM(B$23:B$24)</f>
        <v>0.8</v>
      </c>
    </row>
    <row r="24" spans="1:15" x14ac:dyDescent="0.25">
      <c r="A24" s="3" t="s">
        <v>53</v>
      </c>
      <c r="B24" s="3">
        <v>3</v>
      </c>
      <c r="C24" s="17">
        <f>B24/SUM(B$23:B$24)</f>
        <v>0.2</v>
      </c>
    </row>
    <row r="26" spans="1:15" x14ac:dyDescent="0.25">
      <c r="A26" s="3" t="s">
        <v>60</v>
      </c>
      <c r="B26" s="3"/>
    </row>
    <row r="27" spans="1:15" x14ac:dyDescent="0.25">
      <c r="A27" s="18">
        <v>220</v>
      </c>
      <c r="B27" s="3">
        <f>COUNTIF($L$6:$L$20,$A$27)</f>
        <v>15</v>
      </c>
      <c r="C27" s="17">
        <f>B27/SUM(B$27:B$27)</f>
        <v>1</v>
      </c>
    </row>
    <row r="29" spans="1:15" x14ac:dyDescent="0.25">
      <c r="A29" s="3" t="s">
        <v>61</v>
      </c>
      <c r="B29" s="3"/>
    </row>
    <row r="30" spans="1:15" x14ac:dyDescent="0.25">
      <c r="A30" s="3">
        <v>0</v>
      </c>
      <c r="B30" s="3" cm="1">
        <f t="array" ref="B30:B36">COUNTIF($M$6:$M$20,$A$30:$A$36)</f>
        <v>7</v>
      </c>
      <c r="C30" s="19">
        <f>B30/SUM(B$30:B$36)</f>
        <v>0.46666666666666667</v>
      </c>
    </row>
    <row r="31" spans="1:15" x14ac:dyDescent="0.25">
      <c r="A31" s="3">
        <v>4</v>
      </c>
      <c r="B31" s="3">
        <v>1</v>
      </c>
      <c r="C31" s="19">
        <f t="shared" ref="C31:C36" si="3">B31/SUM(B$30:B$36)</f>
        <v>6.6666666666666666E-2</v>
      </c>
    </row>
    <row r="32" spans="1:15" x14ac:dyDescent="0.25">
      <c r="A32" s="3">
        <v>8</v>
      </c>
      <c r="B32" s="3">
        <v>3</v>
      </c>
      <c r="C32" s="19">
        <f t="shared" si="3"/>
        <v>0.2</v>
      </c>
    </row>
    <row r="33" spans="1:3" x14ac:dyDescent="0.25">
      <c r="A33" s="3">
        <v>12</v>
      </c>
      <c r="B33" s="3">
        <v>1</v>
      </c>
      <c r="C33" s="19">
        <f t="shared" si="3"/>
        <v>6.6666666666666666E-2</v>
      </c>
    </row>
    <row r="34" spans="1:3" x14ac:dyDescent="0.25">
      <c r="A34" s="3">
        <v>16</v>
      </c>
      <c r="B34" s="3">
        <v>1</v>
      </c>
      <c r="C34" s="19">
        <f t="shared" si="3"/>
        <v>6.6666666666666666E-2</v>
      </c>
    </row>
    <row r="35" spans="1:3" x14ac:dyDescent="0.25">
      <c r="A35" s="3">
        <v>24</v>
      </c>
      <c r="B35" s="3">
        <v>1</v>
      </c>
      <c r="C35" s="19">
        <f t="shared" si="3"/>
        <v>6.6666666666666666E-2</v>
      </c>
    </row>
    <row r="36" spans="1:3" x14ac:dyDescent="0.25">
      <c r="A36" s="3">
        <v>40</v>
      </c>
      <c r="B36" s="3">
        <v>1</v>
      </c>
      <c r="C36" s="19">
        <f t="shared" si="3"/>
        <v>6.6666666666666666E-2</v>
      </c>
    </row>
    <row r="38" spans="1:3" x14ac:dyDescent="0.25">
      <c r="A38" s="3" t="s">
        <v>62</v>
      </c>
      <c r="B38" s="3"/>
    </row>
    <row r="39" spans="1:3" x14ac:dyDescent="0.25">
      <c r="A39" s="3">
        <v>55</v>
      </c>
      <c r="B39" s="3" cm="1">
        <f t="array" ref="B39:B52">COUNTIF($N$6:$N$20,$A$39:$A$52)</f>
        <v>1</v>
      </c>
      <c r="C39" s="19">
        <f>B39/SUM(B$39:B$52)</f>
        <v>6.6666666666666666E-2</v>
      </c>
    </row>
    <row r="40" spans="1:3" x14ac:dyDescent="0.25">
      <c r="A40" s="3">
        <v>95</v>
      </c>
      <c r="B40" s="3">
        <v>2</v>
      </c>
      <c r="C40" s="19">
        <f t="shared" ref="C40:C52" si="4">B40/SUM(B$39:B$52)</f>
        <v>0.13333333333333333</v>
      </c>
    </row>
    <row r="41" spans="1:3" x14ac:dyDescent="0.25">
      <c r="A41" s="3">
        <v>89</v>
      </c>
      <c r="B41" s="3">
        <v>1</v>
      </c>
      <c r="C41" s="19">
        <f t="shared" si="4"/>
        <v>6.6666666666666666E-2</v>
      </c>
    </row>
    <row r="42" spans="1:3" x14ac:dyDescent="0.25">
      <c r="A42" s="3">
        <v>98</v>
      </c>
      <c r="B42" s="3">
        <v>1</v>
      </c>
      <c r="C42" s="19">
        <f t="shared" si="4"/>
        <v>6.6666666666666666E-2</v>
      </c>
    </row>
    <row r="43" spans="1:3" x14ac:dyDescent="0.25">
      <c r="A43" s="3">
        <v>88</v>
      </c>
      <c r="B43" s="3">
        <v>1</v>
      </c>
      <c r="C43" s="19">
        <f t="shared" si="4"/>
        <v>6.6666666666666666E-2</v>
      </c>
    </row>
    <row r="44" spans="1:3" x14ac:dyDescent="0.25">
      <c r="A44" s="3">
        <v>81</v>
      </c>
      <c r="B44" s="3">
        <v>1</v>
      </c>
      <c r="C44" s="19">
        <f t="shared" si="4"/>
        <v>6.6666666666666666E-2</v>
      </c>
    </row>
    <row r="45" spans="1:3" x14ac:dyDescent="0.25">
      <c r="A45" s="3">
        <v>72</v>
      </c>
      <c r="B45" s="3">
        <v>1</v>
      </c>
      <c r="C45" s="19">
        <f t="shared" si="4"/>
        <v>6.6666666666666666E-2</v>
      </c>
    </row>
    <row r="46" spans="1:3" x14ac:dyDescent="0.25">
      <c r="A46" s="3">
        <v>92</v>
      </c>
      <c r="B46" s="3">
        <v>1</v>
      </c>
      <c r="C46" s="19">
        <f t="shared" si="4"/>
        <v>6.6666666666666666E-2</v>
      </c>
    </row>
    <row r="47" spans="1:3" x14ac:dyDescent="0.25">
      <c r="A47" s="3">
        <v>60</v>
      </c>
      <c r="B47" s="3">
        <v>1</v>
      </c>
      <c r="C47" s="19">
        <f t="shared" si="4"/>
        <v>6.6666666666666666E-2</v>
      </c>
    </row>
    <row r="48" spans="1:3" x14ac:dyDescent="0.25">
      <c r="A48" s="3">
        <v>65</v>
      </c>
      <c r="B48" s="3">
        <v>1</v>
      </c>
      <c r="C48" s="19">
        <f t="shared" si="4"/>
        <v>6.6666666666666666E-2</v>
      </c>
    </row>
    <row r="49" spans="1:3" x14ac:dyDescent="0.25">
      <c r="A49" s="3">
        <v>90</v>
      </c>
      <c r="B49" s="3">
        <v>1</v>
      </c>
      <c r="C49" s="19">
        <f t="shared" si="4"/>
        <v>6.6666666666666666E-2</v>
      </c>
    </row>
    <row r="50" spans="1:3" x14ac:dyDescent="0.25">
      <c r="A50" s="3">
        <v>86</v>
      </c>
      <c r="B50" s="3">
        <v>1</v>
      </c>
      <c r="C50" s="19">
        <f t="shared" si="4"/>
        <v>6.6666666666666666E-2</v>
      </c>
    </row>
    <row r="51" spans="1:3" x14ac:dyDescent="0.25">
      <c r="A51" s="3">
        <v>85</v>
      </c>
      <c r="B51" s="3">
        <v>1</v>
      </c>
      <c r="C51" s="19">
        <f t="shared" si="4"/>
        <v>6.6666666666666666E-2</v>
      </c>
    </row>
    <row r="52" spans="1:3" x14ac:dyDescent="0.25">
      <c r="A52" s="3">
        <v>78</v>
      </c>
      <c r="B52" s="3">
        <v>1</v>
      </c>
      <c r="C52" s="19">
        <f t="shared" si="4"/>
        <v>6.6666666666666666E-2</v>
      </c>
    </row>
    <row r="54" spans="1:3" x14ac:dyDescent="0.25">
      <c r="A54" s="5"/>
    </row>
    <row r="55" spans="1:3" x14ac:dyDescent="0.25">
      <c r="A55" s="16" t="s">
        <v>63</v>
      </c>
      <c r="B55" s="3"/>
      <c r="C55" s="15"/>
    </row>
    <row r="56" spans="1:3" x14ac:dyDescent="0.25">
      <c r="A56" s="3" t="str" cm="1">
        <f t="array" ref="A56:A70">F$6:F$20</f>
        <v>Aline Freitas</v>
      </c>
      <c r="B56" s="3" cm="1">
        <f t="array" ref="B56:B70">N$6:N$20</f>
        <v>55</v>
      </c>
      <c r="C56" s="19">
        <f>B56/SUM(B$56:B$70)</f>
        <v>4.4751830756712775E-2</v>
      </c>
    </row>
    <row r="57" spans="1:3" x14ac:dyDescent="0.25">
      <c r="A57" s="3" t="str">
        <v>Ana Souza</v>
      </c>
      <c r="B57" s="3">
        <v>95</v>
      </c>
      <c r="C57" s="19">
        <f t="shared" ref="C57:C70" si="5">B57/SUM(B$56:B$70)</f>
        <v>7.7298616761594788E-2</v>
      </c>
    </row>
    <row r="58" spans="1:3" x14ac:dyDescent="0.25">
      <c r="A58" s="3" t="str">
        <v>Bruno Mendes</v>
      </c>
      <c r="B58" s="3">
        <v>89</v>
      </c>
      <c r="C58" s="19">
        <f t="shared" si="5"/>
        <v>7.2416598860862491E-2</v>
      </c>
    </row>
    <row r="59" spans="1:3" x14ac:dyDescent="0.25">
      <c r="A59" s="3" t="str">
        <v>Camila Prado</v>
      </c>
      <c r="B59" s="3">
        <v>98</v>
      </c>
      <c r="C59" s="19">
        <f t="shared" si="5"/>
        <v>7.9739625711960943E-2</v>
      </c>
    </row>
    <row r="60" spans="1:3" x14ac:dyDescent="0.25">
      <c r="A60" s="3" t="str">
        <v>Carlos Lima</v>
      </c>
      <c r="B60" s="3">
        <v>88</v>
      </c>
      <c r="C60" s="19">
        <f t="shared" si="5"/>
        <v>7.1602929210740435E-2</v>
      </c>
    </row>
    <row r="61" spans="1:3" x14ac:dyDescent="0.25">
      <c r="A61" s="3" t="str">
        <v>Diego Moreira</v>
      </c>
      <c r="B61" s="3">
        <v>81</v>
      </c>
      <c r="C61" s="19">
        <f t="shared" si="5"/>
        <v>6.5907241659886082E-2</v>
      </c>
    </row>
    <row r="62" spans="1:3" x14ac:dyDescent="0.25">
      <c r="A62" s="3" t="str">
        <v>Fernanda Alves</v>
      </c>
      <c r="B62" s="3">
        <v>72</v>
      </c>
      <c r="C62" s="19">
        <f t="shared" si="5"/>
        <v>5.858421480878763E-2</v>
      </c>
    </row>
    <row r="63" spans="1:3" x14ac:dyDescent="0.25">
      <c r="A63" s="3" t="str">
        <v>Juliana Costa</v>
      </c>
      <c r="B63" s="3">
        <v>92</v>
      </c>
      <c r="C63" s="19">
        <f t="shared" si="5"/>
        <v>7.4857607811228646E-2</v>
      </c>
    </row>
    <row r="64" spans="1:3" x14ac:dyDescent="0.25">
      <c r="A64" s="3" t="str">
        <v>Lucas Gomes</v>
      </c>
      <c r="B64" s="3">
        <v>60</v>
      </c>
      <c r="C64" s="19">
        <f t="shared" si="5"/>
        <v>4.8820179007323029E-2</v>
      </c>
    </row>
    <row r="65" spans="1:3" x14ac:dyDescent="0.25">
      <c r="A65" s="3" t="str">
        <v>Marcos Silva</v>
      </c>
      <c r="B65" s="3">
        <v>65</v>
      </c>
      <c r="C65" s="19">
        <f t="shared" si="5"/>
        <v>5.2888527257933277E-2</v>
      </c>
    </row>
    <row r="66" spans="1:3" x14ac:dyDescent="0.25">
      <c r="A66" s="3" t="str">
        <v>Patricia Rocha</v>
      </c>
      <c r="B66" s="3">
        <v>90</v>
      </c>
      <c r="C66" s="19">
        <f t="shared" si="5"/>
        <v>7.3230268510984534E-2</v>
      </c>
    </row>
    <row r="67" spans="1:3" x14ac:dyDescent="0.25">
      <c r="A67" s="3" t="str">
        <v>Renata Pires</v>
      </c>
      <c r="B67" s="3">
        <v>86</v>
      </c>
      <c r="C67" s="19">
        <f t="shared" si="5"/>
        <v>6.9975589910496336E-2</v>
      </c>
    </row>
    <row r="68" spans="1:3" x14ac:dyDescent="0.25">
      <c r="A68" s="3" t="str">
        <v>Roberto Dias</v>
      </c>
      <c r="B68" s="3">
        <v>85</v>
      </c>
      <c r="C68" s="19">
        <f t="shared" si="5"/>
        <v>6.9161920260374293E-2</v>
      </c>
    </row>
    <row r="69" spans="1:3" x14ac:dyDescent="0.25">
      <c r="A69" s="3" t="str">
        <v>Tiago Nunes</v>
      </c>
      <c r="B69" s="3">
        <v>95</v>
      </c>
      <c r="C69" s="19">
        <f t="shared" si="5"/>
        <v>7.7298616761594788E-2</v>
      </c>
    </row>
    <row r="70" spans="1:3" x14ac:dyDescent="0.25">
      <c r="A70" s="3" t="str">
        <v>Vitor Ramos</v>
      </c>
      <c r="B70" s="3">
        <v>78</v>
      </c>
      <c r="C70" s="19">
        <f t="shared" si="5"/>
        <v>6.346623270951994E-2</v>
      </c>
    </row>
    <row r="72" spans="1:3" x14ac:dyDescent="0.25">
      <c r="A72" s="3" t="s">
        <v>64</v>
      </c>
      <c r="B72" s="3"/>
    </row>
    <row r="73" spans="1:3" x14ac:dyDescent="0.25">
      <c r="A73" s="3">
        <v>2100</v>
      </c>
      <c r="B73" s="3" cm="1">
        <f t="array" ref="B73:B83">COUNTIF($O:$O,$A73:$A83)</f>
        <v>4</v>
      </c>
      <c r="C73" s="19">
        <f>B73/SUM(B$73:B$83)</f>
        <v>0.26666666666666666</v>
      </c>
    </row>
    <row r="74" spans="1:3" x14ac:dyDescent="0.25">
      <c r="A74" s="3">
        <v>2500</v>
      </c>
      <c r="B74" s="3">
        <v>2</v>
      </c>
      <c r="C74" s="19">
        <f t="shared" ref="C74:C83" si="6">B74/SUM(B$73:B$83)</f>
        <v>0.13333333333333333</v>
      </c>
    </row>
    <row r="75" spans="1:3" x14ac:dyDescent="0.25">
      <c r="A75" s="3">
        <v>2800</v>
      </c>
      <c r="B75" s="3">
        <v>1</v>
      </c>
      <c r="C75" s="19">
        <f t="shared" si="6"/>
        <v>6.6666666666666666E-2</v>
      </c>
    </row>
    <row r="76" spans="1:3" x14ac:dyDescent="0.25">
      <c r="A76" s="3">
        <v>3200</v>
      </c>
      <c r="B76" s="3">
        <v>1</v>
      </c>
      <c r="C76" s="19">
        <f t="shared" si="6"/>
        <v>6.6666666666666666E-2</v>
      </c>
    </row>
    <row r="77" spans="1:3" x14ac:dyDescent="0.25">
      <c r="A77" s="3">
        <v>4100</v>
      </c>
      <c r="B77" s="3">
        <v>1</v>
      </c>
      <c r="C77" s="19">
        <f t="shared" si="6"/>
        <v>6.6666666666666666E-2</v>
      </c>
    </row>
    <row r="78" spans="1:3" x14ac:dyDescent="0.25">
      <c r="A78" s="3">
        <v>4500</v>
      </c>
      <c r="B78" s="3">
        <v>1</v>
      </c>
      <c r="C78" s="19">
        <f t="shared" si="6"/>
        <v>6.6666666666666666E-2</v>
      </c>
    </row>
    <row r="79" spans="1:3" x14ac:dyDescent="0.25">
      <c r="A79" s="3">
        <v>4800</v>
      </c>
      <c r="B79" s="3">
        <v>1</v>
      </c>
      <c r="C79" s="19">
        <f t="shared" si="6"/>
        <v>6.6666666666666666E-2</v>
      </c>
    </row>
    <row r="80" spans="1:3" x14ac:dyDescent="0.25">
      <c r="A80" s="3">
        <v>5000</v>
      </c>
      <c r="B80" s="3">
        <v>1</v>
      </c>
      <c r="C80" s="19">
        <f t="shared" si="6"/>
        <v>6.6666666666666666E-2</v>
      </c>
    </row>
    <row r="81" spans="1:3" x14ac:dyDescent="0.25">
      <c r="A81" s="3">
        <v>6500</v>
      </c>
      <c r="B81" s="3">
        <v>1</v>
      </c>
      <c r="C81" s="19">
        <f t="shared" si="6"/>
        <v>6.6666666666666666E-2</v>
      </c>
    </row>
    <row r="82" spans="1:3" x14ac:dyDescent="0.25">
      <c r="A82" s="3">
        <v>8500</v>
      </c>
      <c r="B82" s="3">
        <v>1</v>
      </c>
      <c r="C82" s="19">
        <f t="shared" si="6"/>
        <v>6.6666666666666666E-2</v>
      </c>
    </row>
    <row r="83" spans="1:3" x14ac:dyDescent="0.25">
      <c r="A83" s="3">
        <v>9200</v>
      </c>
      <c r="B83" s="3">
        <v>1</v>
      </c>
      <c r="C83" s="19">
        <f t="shared" si="6"/>
        <v>6.6666666666666666E-2</v>
      </c>
    </row>
  </sheetData>
  <sortState xmlns:xlrd2="http://schemas.microsoft.com/office/spreadsheetml/2017/richdata2" ref="A73:A87">
    <sortCondition ref="A73:A87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26F2-A3CF-47E0-BBB3-F705D79F8C4C}">
  <dimension ref="A1:XFC73"/>
  <sheetViews>
    <sheetView showGridLines="0" showRowColHeaders="0" tabSelected="1" zoomScaleNormal="100" workbookViewId="0">
      <selection activeCell="R28" sqref="R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9.5" customHeight="1" zeroHeight="1" x14ac:dyDescent="0.25"/>
  <cols>
    <col min="1" max="28" width="9.140625" customWidth="1"/>
    <col min="29" max="29" width="4.85546875" customWidth="1"/>
    <col min="30" max="16383" width="9.140625" hidden="1"/>
    <col min="16384" max="16384" width="27.28515625" hidden="1"/>
  </cols>
  <sheetData>
    <row r="1" customFormat="1" ht="19.5" customHeight="1" x14ac:dyDescent="0.25"/>
    <row r="2" customFormat="1" ht="19.5" customHeight="1" x14ac:dyDescent="0.25"/>
    <row r="3" customFormat="1" ht="19.5" customHeight="1" x14ac:dyDescent="0.25"/>
    <row r="4" customFormat="1" ht="19.5" customHeight="1" x14ac:dyDescent="0.25"/>
    <row r="5" customFormat="1" ht="19.5" customHeight="1" x14ac:dyDescent="0.25"/>
    <row r="6" customFormat="1" ht="19.5" customHeight="1" x14ac:dyDescent="0.25"/>
    <row r="7" customFormat="1" ht="19.5" customHeight="1" x14ac:dyDescent="0.25"/>
    <row r="8" customFormat="1" ht="19.5" customHeight="1" x14ac:dyDescent="0.25"/>
    <row r="9" customFormat="1" ht="19.5" customHeight="1" x14ac:dyDescent="0.25"/>
    <row r="10" customFormat="1" ht="19.5" customHeight="1" x14ac:dyDescent="0.25"/>
    <row r="11" customFormat="1" ht="19.5" customHeight="1" x14ac:dyDescent="0.25"/>
    <row r="12" customFormat="1" ht="19.5" customHeight="1" x14ac:dyDescent="0.25"/>
    <row r="13" customFormat="1" ht="19.5" customHeight="1" x14ac:dyDescent="0.25"/>
    <row r="14" customFormat="1" ht="19.5" customHeight="1" x14ac:dyDescent="0.25"/>
    <row r="15" customFormat="1" ht="19.5" customHeight="1" x14ac:dyDescent="0.25"/>
    <row r="16" customFormat="1" ht="19.5" customHeight="1" x14ac:dyDescent="0.25"/>
    <row r="17" customFormat="1" ht="19.5" customHeight="1" x14ac:dyDescent="0.25"/>
    <row r="18" customFormat="1" ht="19.5" customHeight="1" x14ac:dyDescent="0.25"/>
    <row r="19" customFormat="1" ht="19.5" customHeight="1" x14ac:dyDescent="0.25"/>
    <row r="20" customFormat="1" ht="19.5" customHeight="1" x14ac:dyDescent="0.25"/>
    <row r="21" customFormat="1" ht="19.5" customHeight="1" x14ac:dyDescent="0.25"/>
    <row r="22" customFormat="1" ht="19.5" customHeight="1" x14ac:dyDescent="0.25"/>
    <row r="23" customFormat="1" ht="19.5" customHeight="1" x14ac:dyDescent="0.25"/>
    <row r="24" customFormat="1" ht="19.5" customHeight="1" x14ac:dyDescent="0.25"/>
    <row r="25" customFormat="1" ht="19.5" customHeight="1" x14ac:dyDescent="0.25"/>
    <row r="26" customFormat="1" ht="19.5" customHeight="1" x14ac:dyDescent="0.25"/>
    <row r="27" customFormat="1" ht="19.5" customHeight="1" x14ac:dyDescent="0.25"/>
    <row r="28" customFormat="1" ht="19.5" customHeight="1" x14ac:dyDescent="0.25"/>
    <row r="29" customFormat="1" ht="19.5" customHeight="1" x14ac:dyDescent="0.25"/>
    <row r="30" customFormat="1" ht="19.5" customHeight="1" x14ac:dyDescent="0.25"/>
    <row r="31" customFormat="1" ht="19.5" hidden="1" customHeight="1" x14ac:dyDescent="0.25"/>
    <row r="32" customFormat="1" ht="19.5" hidden="1" customHeight="1" x14ac:dyDescent="0.25"/>
    <row r="33" customFormat="1" ht="19.5" hidden="1" customHeight="1" x14ac:dyDescent="0.25"/>
    <row r="34" customFormat="1" ht="19.5" hidden="1" customHeight="1" x14ac:dyDescent="0.25"/>
    <row r="35" customFormat="1" ht="19.5" hidden="1" customHeight="1" x14ac:dyDescent="0.25"/>
    <row r="36" customFormat="1" ht="19.5" hidden="1" customHeight="1" x14ac:dyDescent="0.25"/>
    <row r="37" customFormat="1" ht="19.5" hidden="1" customHeight="1" x14ac:dyDescent="0.25"/>
    <row r="38" customFormat="1" ht="19.5" hidden="1" customHeight="1" x14ac:dyDescent="0.25"/>
    <row r="39" customFormat="1" ht="19.5" hidden="1" customHeight="1" x14ac:dyDescent="0.25"/>
    <row r="40" customFormat="1" ht="19.5" hidden="1" customHeight="1" x14ac:dyDescent="0.25"/>
    <row r="41" customFormat="1" ht="19.5" hidden="1" customHeight="1" x14ac:dyDescent="0.25"/>
    <row r="42" customFormat="1" ht="19.5" hidden="1" customHeight="1" x14ac:dyDescent="0.25"/>
    <row r="43" customFormat="1" ht="19.5" hidden="1" customHeight="1" x14ac:dyDescent="0.25"/>
    <row r="44" customFormat="1" ht="19.5" hidden="1" customHeight="1" x14ac:dyDescent="0.25"/>
    <row r="45" customFormat="1" ht="19.5" hidden="1" customHeight="1" x14ac:dyDescent="0.25"/>
    <row r="46" customFormat="1" ht="19.5" hidden="1" customHeight="1" x14ac:dyDescent="0.25"/>
    <row r="47" customFormat="1" ht="19.5" hidden="1" customHeight="1" x14ac:dyDescent="0.25"/>
    <row r="48" customFormat="1" ht="19.5" hidden="1" customHeight="1" x14ac:dyDescent="0.25"/>
    <row r="49" customFormat="1" ht="19.5" hidden="1" customHeight="1" x14ac:dyDescent="0.25"/>
    <row r="50" customFormat="1" ht="19.5" hidden="1" customHeight="1" x14ac:dyDescent="0.25"/>
    <row r="51" customFormat="1" ht="19.5" hidden="1" customHeight="1" x14ac:dyDescent="0.25"/>
    <row r="52" customFormat="1" ht="19.5" hidden="1" customHeight="1" x14ac:dyDescent="0.25"/>
    <row r="53" customFormat="1" ht="19.5" hidden="1" customHeight="1" x14ac:dyDescent="0.25"/>
    <row r="54" customFormat="1" ht="19.5" hidden="1" customHeight="1" x14ac:dyDescent="0.25"/>
    <row r="55" customFormat="1" ht="19.5" hidden="1" customHeight="1" x14ac:dyDescent="0.25"/>
    <row r="56" customFormat="1" ht="19.5" hidden="1" customHeight="1" x14ac:dyDescent="0.25"/>
    <row r="57" customFormat="1" ht="19.5" hidden="1" customHeight="1" x14ac:dyDescent="0.25"/>
    <row r="58" customFormat="1" ht="19.5" hidden="1" customHeight="1" x14ac:dyDescent="0.25"/>
    <row r="59" customFormat="1" ht="19.5" hidden="1" customHeight="1" x14ac:dyDescent="0.25"/>
    <row r="60" customFormat="1" ht="19.5" hidden="1" customHeight="1" x14ac:dyDescent="0.25"/>
    <row r="61" customFormat="1" ht="19.5" hidden="1" customHeight="1" x14ac:dyDescent="0.25"/>
    <row r="62" customFormat="1" ht="19.5" hidden="1" customHeight="1" x14ac:dyDescent="0.25"/>
    <row r="63" customFormat="1" ht="19.5" hidden="1" customHeight="1" x14ac:dyDescent="0.25"/>
    <row r="64" customFormat="1" ht="19.5" hidden="1" customHeight="1" x14ac:dyDescent="0.25"/>
    <row r="65" customFormat="1" ht="19.5" hidden="1" customHeight="1" x14ac:dyDescent="0.25"/>
    <row r="66" customFormat="1" ht="19.5" hidden="1" customHeight="1" x14ac:dyDescent="0.25"/>
    <row r="67" customFormat="1" ht="19.5" hidden="1" customHeight="1" x14ac:dyDescent="0.25"/>
    <row r="68" customFormat="1" ht="19.5" hidden="1" customHeight="1" x14ac:dyDescent="0.25"/>
    <row r="69" customFormat="1" ht="19.5" hidden="1" customHeight="1" x14ac:dyDescent="0.25"/>
    <row r="70" customFormat="1" ht="19.5" hidden="1" customHeight="1" x14ac:dyDescent="0.25"/>
    <row r="71" customFormat="1" ht="19.5" hidden="1" customHeight="1" x14ac:dyDescent="0.25"/>
    <row r="72" customFormat="1" ht="19.5" hidden="1" customHeight="1" x14ac:dyDescent="0.25"/>
    <row r="73" customFormat="1" ht="19.5" hidden="1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Tabela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Barbosa dos Santos</dc:creator>
  <cp:lastModifiedBy>Leandro Barbosa dos Santos</cp:lastModifiedBy>
  <dcterms:created xsi:type="dcterms:W3CDTF">2026-10-01T18:31:16Z</dcterms:created>
  <dcterms:modified xsi:type="dcterms:W3CDTF">2026-10-02T01:16:16Z</dcterms:modified>
</cp:coreProperties>
</file>